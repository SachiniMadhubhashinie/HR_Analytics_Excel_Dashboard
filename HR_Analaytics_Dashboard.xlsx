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chi\Desktop\Data Analyst\Excel_Dashboard\"/>
    </mc:Choice>
  </mc:AlternateContent>
  <xr:revisionPtr revIDLastSave="0" documentId="8_{4207583E-90B4-4029-B45B-1F16CB63DD02}" xr6:coauthVersionLast="47" xr6:coauthVersionMax="47" xr10:uidLastSave="{00000000-0000-0000-0000-000000000000}"/>
  <bookViews>
    <workbookView xWindow="-108" yWindow="-108" windowWidth="23256" windowHeight="12456" tabRatio="950" firstSheet="4" activeTab="10" xr2:uid="{00000000-000D-0000-FFFF-FFFF00000000}"/>
  </bookViews>
  <sheets>
    <sheet name="KPI" sheetId="7" r:id="rId1"/>
    <sheet name="Rating" sheetId="8" r:id="rId2"/>
    <sheet name="Gender" sheetId="9" r:id="rId3"/>
    <sheet name="Education by Attrition" sheetId="10" r:id="rId4"/>
    <sheet name="Attrition by job" sheetId="11" r:id="rId5"/>
    <sheet name="Dept wise Attrition" sheetId="12" r:id="rId6"/>
    <sheet name="Attrition by Age" sheetId="13" r:id="rId7"/>
    <sheet name="Materials status" sheetId="14" r:id="rId8"/>
    <sheet name="Data" sheetId="1" r:id="rId9"/>
    <sheet name="Images" sheetId="2" r:id="rId10"/>
    <sheet name="Dashboard" sheetId="4" r:id="rId11"/>
  </sheets>
  <definedNames>
    <definedName name="_xlchart.v1.0" hidden="1">'Attrition by job'!$D$4:$D$12</definedName>
    <definedName name="_xlchart.v1.1" hidden="1">'Attrition by job'!$E$4:$E$12</definedName>
    <definedName name="_xlchart.v1.2" hidden="1">'Materials status'!$E$4:$E$6</definedName>
    <definedName name="_xlchart.v1.3" hidden="1">'Materials status'!$F$4:$F$6</definedName>
    <definedName name="_xlchart.v1.4" hidden="1">'Attrition by job'!$D$4:$D$12</definedName>
    <definedName name="_xlchart.v1.5" hidden="1">'Attrition by job'!$E$4:$E$12</definedName>
    <definedName name="Slicer_Department">#N/A</definedName>
    <definedName name="Slicer_Education_Field2">#N/A</definedName>
    <definedName name="Slicer_Gender2">#N/A</definedName>
  </definedNames>
  <calcPr calcId="181029"/>
  <pivotCaches>
    <pivotCache cacheId="19"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E5" i="14" l="1"/>
  <c r="E6" i="14"/>
  <c r="E4" i="14"/>
  <c r="D5" i="11"/>
  <c r="D6" i="11"/>
  <c r="D7" i="11"/>
  <c r="D8" i="11"/>
  <c r="D9" i="11"/>
  <c r="D10" i="11"/>
  <c r="D11" i="11"/>
  <c r="D12" i="11"/>
  <c r="D4" i="11"/>
  <c r="F5" i="14"/>
  <c r="F6" i="14"/>
  <c r="F4" i="14"/>
  <c r="E7" i="11"/>
  <c r="E9" i="11"/>
  <c r="E10" i="11"/>
  <c r="E8" i="11"/>
  <c r="E11" i="11"/>
  <c r="E12" i="11"/>
  <c r="E5" i="11"/>
  <c r="E6" i="11"/>
  <c r="E4" i="11"/>
  <c r="B10" i="9"/>
  <c r="B11" i="9"/>
  <c r="B8" i="8"/>
  <c r="B7" i="8"/>
  <c r="C8" i="7"/>
  <c r="B8" i="7"/>
  <c r="A8" i="7"/>
  <c r="C10" i="9" l="1"/>
  <c r="C11" i="9"/>
  <c r="C7" i="8"/>
  <c r="C8" i="8"/>
  <c r="D8" i="7"/>
  <c r="E8" i="7"/>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<sst xmlns="http://schemas.openxmlformats.org/spreadsheetml/2006/main" count="19216" uniqueCount="1571">
  <si>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</si>
  <si>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</si>
  <si>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</si>
  <si>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</si>
  <si>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</si>
  <si>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</si>
  <si>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</si>
  <si>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</si>
  <si>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</si>
  <si>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</si>
  <si>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</si>
  <si>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</si>
  <si>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</si>
  <si>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</si>
  <si>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</si>
  <si>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</si>
  <si>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</si>
  <si>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</si>
  <si>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</si>
  <si>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</si>
  <si>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</si>
  <si>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</si>
  <si>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</si>
  <si>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</si>
  <si>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</si>
  <si>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</si>
  <si>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</si>
  <si>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</si>
  <si>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</si>
  <si>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</si>
  <si>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</si>
  <si>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</si>
  <si>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</si>
  <si>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</si>
  <si>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</si>
  <si>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</si>
  <si>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</si>
  <si>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</si>
  <si>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</si>
  <si>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</si>
  <si>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</si>
  <si>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</si>
  <si>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</si>
  <si>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</si>
  <si>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</si>
  <si>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</si>
  <si>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</si>
  <si>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</si>
  <si>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</si>
  <si>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</si>
  <si>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</si>
  <si>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</si>
  <si>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</si>
  <si>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</si>
  <si>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</si>
  <si>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</si>
  <si>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</si>
  <si>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</si>
  <si>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</si>
  <si>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</si>
  <si>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</si>
  <si>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</si>
  <si>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</si>
  <si>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</si>
  <si>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</si>
  <si>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</si>
  <si>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</si>
  <si>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</si>
  <si>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</si>
  <si>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</si>
  <si>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</si>
  <si>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</si>
  <si>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</si>
  <si>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</si>
  <si>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</si>
  <si>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</si>
  <si>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</si>
  <si>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</si>
  <si>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</si>
  <si>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</si>
  <si>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</si>
  <si>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</si>
  <si>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</si>
  <si>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</si>
  <si>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</si>
  <si>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</si>
  <si>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</si>
  <si>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</si>
  <si>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</si>
  <si>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</si>
  <si>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</si>
  <si>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</si>
  <si>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</si>
  <si>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</si>
  <si>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</si>
  <si>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</si>
  <si>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</si>
  <si>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</si>
  <si>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</si>
  <si>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</si>
  <si>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</si>
  <si>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</si>
  <si>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</si>
  <si>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</si>
  <si>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</si>
  <si>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</si>
  <si>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</si>
  <si>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</si>
  <si>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</si>
  <si>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</si>
  <si>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</si>
  <si>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</si>
  <si>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</si>
  <si>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</si>
  <si>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</si>
  <si>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</si>
  <si>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</si>
  <si>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</si>
  <si>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</si>
  <si>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</si>
  <si>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</si>
  <si>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</si>
  <si>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</si>
  <si>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</si>
  <si>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</si>
  <si>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</si>
  <si>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</si>
  <si>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</si>
  <si>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</si>
  <si>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</si>
  <si>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</si>
  <si>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</si>
  <si>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</si>
  <si>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</si>
  <si>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</si>
  <si>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</si>
  <si>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</si>
  <si>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</si>
  <si>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</si>
  <si>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</si>
  <si>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</si>
  <si>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</si>
  <si>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</si>
  <si>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</si>
  <si>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</si>
  <si>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</si>
  <si>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</si>
  <si>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</si>
  <si>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</si>
  <si>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</si>
  <si>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</si>
  <si>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</si>
  <si>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</si>
  <si>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</si>
  <si>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</si>
  <si>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</si>
  <si>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</si>
  <si>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</si>
  <si>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</si>
  <si>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</si>
  <si>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</si>
  <si>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</si>
  <si>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</si>
  <si>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</si>
  <si>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</si>
  <si>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</si>
  <si>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</si>
  <si>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</si>
  <si>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</si>
  <si>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</si>
  <si>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</si>
  <si>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</si>
  <si>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</si>
  <si>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</si>
  <si>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</si>
  <si>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</si>
  <si>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</si>
  <si>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</si>
  <si>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</si>
  <si>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</si>
  <si>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</si>
  <si>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</si>
  <si>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</si>
  <si>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</si>
  <si>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</si>
  <si>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</si>
  <si>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</si>
  <si>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</si>
  <si>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</si>
  <si>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</si>
  <si>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</si>
  <si>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</si>
  <si>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</si>
  <si>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</si>
  <si>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</si>
  <si>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</si>
  <si>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</si>
  <si>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</si>
  <si>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</si>
  <si>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</si>
  <si>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</si>
  <si>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</si>
  <si>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</si>
  <si>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</si>
  <si>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</si>
  <si>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</si>
  <si>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</si>
  <si>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</si>
  <si>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</si>
  <si>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</si>
  <si>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</si>
  <si>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</si>
  <si>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</si>
  <si>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</si>
  <si>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</si>
  <si>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</si>
  <si>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</si>
  <si>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</si>
  <si>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</si>
  <si>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</si>
  <si>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</si>
  <si>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</si>
  <si>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</si>
  <si>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</si>
  <si>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</si>
  <si>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</si>
  <si>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</si>
  <si>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</si>
  <si>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</si>
  <si>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</si>
  <si>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</si>
  <si>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</si>
  <si>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</si>
  <si>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</si>
  <si>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</si>
  <si>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</si>
  <si>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</si>
  <si>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</si>
  <si>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</si>
  <si>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</si>
  <si>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</si>
  <si>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</si>
  <si>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</si>
  <si>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</si>
  <si>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</si>
  <si>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</si>
  <si>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</si>
  <si>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</si>
  <si>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</si>
  <si>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</si>
  <si>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</si>
  <si>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</si>
  <si>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</si>
  <si>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</si>
  <si>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</si>
  <si>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</si>
  <si>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</si>
  <si>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</si>
  <si>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</si>
  <si>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</si>
  <si>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</si>
  <si>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</si>
  <si>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</si>
  <si>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</si>
  <si>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</si>
  <si>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</si>
  <si>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</si>
  <si>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</si>
  <si>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</si>
  <si>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</si>
  <si>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</si>
  <si>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</si>
  <si>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</si>
  <si>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</si>
  <si>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</si>
  <si>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</si>
  <si>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</si>
  <si>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</si>
  <si>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</si>
  <si>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</si>
  <si>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</si>
  <si>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</si>
  <si>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</si>
  <si>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</si>
  <si>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</si>
  <si>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</si>
  <si>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</si>
  <si>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</si>
  <si>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</si>
  <si>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</si>
  <si>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</si>
  <si>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</si>
  <si>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</si>
  <si>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</si>
  <si>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</si>
  <si>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</si>
  <si>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</si>
  <si>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</si>
  <si>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</si>
  <si>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</si>
  <si>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</si>
  <si>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</si>
  <si>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</si>
  <si>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</si>
  <si>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</si>
  <si>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</si>
  <si>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</si>
  <si>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</si>
  <si>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</si>
  <si>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</si>
  <si>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</si>
  <si>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</si>
  <si>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</si>
  <si>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</si>
  <si>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</si>
  <si>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</si>
  <si>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</si>
  <si>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</si>
  <si>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</si>
  <si>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</si>
  <si>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</si>
  <si>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</si>
  <si>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</si>
  <si>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</si>
  <si>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</si>
  <si>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</si>
  <si>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</si>
  <si>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</si>
  <si>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</si>
  <si>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</si>
  <si>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</si>
  <si>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</si>
  <si>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</si>
  <si>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</si>
  <si>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</si>
  <si>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</si>
  <si>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</si>
  <si>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</si>
  <si>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</si>
  <si>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</si>
  <si>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</si>
  <si>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</si>
  <si>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</si>
  <si>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</si>
  <si>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</si>
  <si>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</si>
  <si>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</si>
  <si>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</si>
  <si>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</si>
  <si>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</si>
  <si>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</si>
  <si>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</si>
  <si>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</si>
  <si>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</si>
  <si>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</si>
  <si>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</si>
  <si>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</si>
  <si>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</si>
  <si>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</si>
  <si>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</si>
  <si>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</si>
  <si>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</si>
  <si>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</si>
  <si>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</si>
  <si>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</si>
  <si>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</si>
  <si>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</si>
  <si>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</si>
  <si>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</si>
  <si>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</si>
  <si>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</si>
  <si>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</si>
  <si>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</si>
  <si>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</si>
  <si>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</si>
  <si>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</si>
  <si>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</si>
  <si>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</si>
  <si>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</si>
  <si>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</si>
  <si>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</si>
  <si>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</si>
  <si>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</si>
  <si>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</si>
  <si>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</si>
  <si>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</si>
  <si>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</si>
  <si>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</si>
  <si>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</si>
  <si>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</si>
  <si>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</si>
  <si>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</si>
  <si>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</si>
  <si>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</si>
  <si>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</si>
  <si>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</si>
  <si>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</si>
  <si>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</si>
  <si>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</si>
  <si>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</si>
  <si>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</si>
  <si>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</si>
  <si>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</si>
  <si>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</si>
  <si>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</si>
  <si>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</si>
  <si>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</si>
  <si>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</si>
  <si>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</si>
  <si>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</si>
  <si>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</si>
  <si>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</si>
  <si>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</si>
  <si>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</si>
  <si>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</si>
  <si>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</si>
  <si>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</si>
  <si>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</si>
  <si>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</si>
  <si>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</si>
  <si>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</si>
  <si>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</si>
  <si>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</si>
  <si>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</si>
  <si>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</si>
  <si>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</si>
  <si>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</si>
  <si>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</si>
  <si>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</si>
  <si>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</si>
  <si>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</si>
  <si>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</si>
  <si>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</si>
  <si>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</si>
  <si>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</si>
  <si>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</si>
  <si>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</si>
  <si>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</si>
  <si>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</si>
  <si>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</si>
  <si>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</si>
  <si>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</si>
  <si>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</si>
  <si>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</si>
  <si>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</si>
  <si>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</si>
  <si>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</si>
  <si>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</si>
  <si>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</si>
  <si>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</si>
  <si>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</si>
  <si>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</si>
  <si>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</si>
  <si>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</si>
  <si>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</si>
  <si>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</si>
  <si>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</si>
  <si>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</si>
  <si>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</si>
  <si>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</si>
  <si>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</si>
  <si>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</si>
  <si>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</si>
  <si>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</si>
  <si>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</si>
  <si>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</si>
  <si>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</si>
  <si>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</si>
  <si>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</si>
  <si>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</si>
  <si>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</si>
  <si>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</si>
  <si>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</si>
  <si>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</si>
  <si>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</si>
  <si>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</si>
  <si>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</si>
  <si>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</si>
  <si>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</si>
  <si>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</si>
  <si>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</si>
  <si>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</si>
  <si>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</si>
  <si>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</si>
  <si>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</si>
  <si>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</si>
  <si>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</si>
  <si>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</si>
  <si>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</si>
  <si>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</si>
  <si>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</si>
  <si>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</si>
  <si>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</si>
  <si>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</si>
  <si>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</si>
  <si>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</si>
  <si>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</si>
  <si>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</si>
  <si>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</si>
  <si>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</si>
  <si>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</si>
  <si>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</si>
  <si>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</si>
  <si>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</si>
  <si>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</si>
  <si>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</si>
  <si>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</si>
  <si>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</si>
  <si>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</si>
  <si>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</si>
  <si>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</si>
  <si>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</si>
  <si>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</si>
  <si>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</si>
  <si>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</si>
  <si>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</si>
  <si>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</si>
  <si>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</si>
  <si>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</si>
  <si>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</si>
  <si>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</si>
  <si>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</si>
  <si>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</si>
  <si>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</si>
  <si>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</si>
  <si>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</si>
  <si>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</si>
  <si>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</si>
  <si>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</si>
  <si>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</si>
  <si>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</si>
  <si>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</si>
  <si>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</si>
  <si>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</si>
  <si>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</si>
  <si>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</si>
  <si>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</si>
  <si>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</si>
  <si>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</si>
  <si>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</si>
  <si>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</si>
  <si>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</si>
  <si>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</si>
  <si>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</si>
  <si>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</si>
  <si>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</si>
  <si>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</si>
  <si>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</si>
  <si>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</si>
  <si>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</si>
  <si>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</si>
  <si>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</si>
  <si>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</si>
  <si>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</si>
  <si>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</si>
  <si>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</si>
  <si>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</si>
  <si>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</si>
  <si>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</si>
  <si>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</si>
  <si>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</si>
  <si>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</si>
  <si>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</si>
  <si>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</si>
  <si>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</si>
  <si>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</si>
  <si>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</si>
  <si>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</si>
  <si>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</si>
  <si>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</si>
  <si>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</si>
  <si>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</si>
  <si>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</si>
  <si>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</si>
  <si>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</si>
  <si>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</si>
  <si>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</si>
  <si>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</si>
  <si>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</si>
  <si>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</si>
  <si>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</si>
  <si>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</si>
  <si>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</si>
  <si>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</si>
  <si>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</si>
  <si>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</si>
  <si>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</si>
  <si>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</si>
  <si>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</si>
  <si>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</si>
  <si>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</si>
  <si>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</si>
  <si>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</si>
  <si>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</si>
  <si>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</si>
  <si>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</si>
  <si>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</si>
  <si>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</si>
  <si>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</si>
  <si>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</si>
  <si>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</si>
  <si>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</si>
  <si>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</si>
  <si>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</si>
  <si>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</si>
  <si>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</si>
  <si>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</si>
  <si>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</si>
  <si>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</si>
  <si>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</si>
  <si>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</si>
  <si>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</si>
  <si>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</si>
  <si>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</si>
  <si>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</si>
  <si>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</si>
  <si>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</si>
  <si>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</si>
  <si>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</si>
  <si>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</si>
  <si>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</si>
  <si>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</si>
  <si>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</si>
  <si>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</si>
  <si>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</si>
  <si>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</si>
  <si>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</si>
  <si>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</si>
  <si>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</si>
  <si>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</si>
  <si>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</si>
  <si>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</si>
  <si>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</si>
  <si>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</si>
  <si>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</si>
  <si>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</si>
  <si>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</si>
  <si>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</si>
  <si>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</si>
  <si>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</si>
  <si>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</si>
  <si>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</si>
  <si>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</si>
  <si>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</si>
  <si>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</si>
  <si>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</si>
  <si>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</si>
  <si>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</si>
  <si>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</si>
  <si>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</si>
  <si>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</si>
  <si>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</si>
  <si>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</si>
  <si>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</si>
  <si>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</si>
  <si>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</si>
  <si>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</si>
  <si>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</si>
  <si>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</si>
  <si>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</si>
  <si>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</si>
  <si>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</si>
  <si>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</si>
  <si>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</si>
  <si>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</si>
  <si>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</si>
  <si>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</si>
  <si>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</si>
  <si>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</si>
  <si>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</si>
  <si>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</si>
  <si>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</si>
  <si>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</si>
  <si>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</si>
  <si>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</si>
  <si>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</si>
  <si>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</si>
  <si>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</si>
  <si>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</si>
  <si>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</si>
  <si>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</si>
  <si>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</si>
  <si>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</si>
  <si>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</si>
  <si>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</si>
  <si>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</si>
  <si>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</si>
  <si>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</si>
  <si>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</si>
  <si>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</si>
  <si>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</si>
  <si>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</si>
  <si>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</si>
  <si>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</si>
  <si>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</si>
  <si>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</si>
  <si>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</si>
  <si>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</si>
  <si>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</si>
  <si>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</si>
  <si>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</si>
  <si>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</si>
  <si>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</si>
  <si>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</si>
  <si>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</si>
  <si>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</si>
  <si>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</si>
  <si>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</si>
  <si>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</si>
  <si>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</si>
  <si>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</si>
  <si>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</si>
  <si>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</si>
  <si>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</si>
  <si>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</si>
  <si>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</si>
  <si>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</si>
  <si>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</si>
  <si>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</si>
  <si>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</si>
  <si>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</si>
  <si>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</si>
  <si>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</si>
  <si>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</si>
  <si>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</si>
  <si>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</si>
  <si>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</si>
  <si>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</si>
  <si>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</si>
  <si>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</si>
  <si>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</si>
  <si>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</si>
  <si>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</si>
  <si>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</si>
  <si>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</si>
  <si>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</si>
  <si>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</si>
  <si>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</si>
  <si>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</si>
  <si>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</si>
  <si>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</si>
  <si>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</si>
  <si>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</si>
  <si>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</si>
  <si>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</si>
  <si>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</si>
  <si>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</si>
  <si>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</si>
  <si>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</si>
  <si>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</si>
  <si>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</si>
  <si>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</si>
  <si>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</si>
  <si>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</si>
  <si>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</si>
  <si>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</si>
  <si>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</si>
  <si>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</si>
  <si>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</si>
  <si>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</si>
  <si>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</si>
  <si>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</si>
  <si>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</si>
  <si>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</si>
  <si>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</si>
  <si>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</si>
  <si>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</si>
  <si>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</si>
  <si>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</si>
  <si>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</si>
  <si>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</si>
  <si>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</si>
  <si>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</si>
  <si>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</si>
  <si>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</si>
  <si>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</si>
  <si>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</si>
  <si>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</si>
  <si>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</si>
  <si>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</si>
  <si>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</si>
  <si>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</si>
  <si>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</si>
  <si>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</si>
  <si>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</si>
  <si>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</si>
  <si>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</si>
  <si>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</si>
  <si>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</si>
  <si>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</si>
  <si>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</si>
  <si>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</si>
  <si>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</si>
  <si>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</si>
  <si>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</si>
  <si>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</si>
  <si>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</si>
  <si>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</si>
  <si>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</si>
  <si>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</si>
  <si>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</si>
  <si>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</si>
  <si>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</si>
  <si>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</si>
  <si>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</si>
  <si>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</si>
  <si>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</si>
  <si>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</si>
  <si>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</si>
  <si>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</si>
  <si>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</si>
  <si>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</si>
  <si>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</si>
  <si>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</si>
  <si>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</si>
  <si>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</si>
  <si>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</si>
  <si>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</si>
  <si>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</si>
  <si>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</si>
  <si>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</si>
  <si>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</si>
  <si>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</si>
  <si>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</si>
  <si>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</si>
  <si>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</si>
  <si>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</si>
  <si>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</si>
  <si>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</si>
  <si>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</si>
  <si>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</si>
  <si>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</si>
  <si>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</si>
  <si>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</si>
  <si>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</si>
  <si>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</si>
  <si>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</si>
  <si>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</si>
  <si>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</si>
  <si>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</si>
  <si>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</si>
  <si>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</si>
  <si>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</si>
  <si>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</si>
  <si>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</si>
  <si>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</si>
  <si>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</si>
  <si>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</si>
  <si>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</si>
  <si>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</si>
  <si>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</si>
  <si>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</si>
  <si>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</si>
  <si>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</si>
  <si>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</si>
  <si>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</si>
  <si>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</si>
  <si>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</si>
  <si>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</si>
  <si>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</si>
  <si>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</si>
  <si>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</si>
  <si>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</si>
  <si>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</si>
  <si>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</si>
  <si>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</si>
  <si>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</si>
  <si>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</si>
  <si>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</si>
  <si>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</si>
  <si>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</si>
  <si>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</si>
  <si>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</si>
  <si>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</si>
  <si>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</si>
  <si>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</si>
  <si>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</si>
  <si>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</si>
  <si>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</si>
  <si>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</si>
  <si>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</si>
  <si>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</si>
  <si>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</si>
  <si>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</si>
  <si>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</si>
  <si>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</si>
  <si>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</si>
  <si>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</si>
  <si>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</si>
  <si>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</si>
  <si>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</si>
  <si>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</si>
  <si>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</si>
  <si>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</si>
  <si>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</si>
  <si>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</si>
  <si>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</si>
  <si>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</si>
  <si>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</si>
  <si>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</si>
  <si>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</si>
  <si>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</si>
  <si>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</si>
  <si>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</si>
  <si>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</si>
  <si>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</si>
  <si>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</si>
  <si>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</si>
  <si>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</si>
  <si>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</si>
  <si>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</si>
  <si>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</si>
  <si>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</si>
  <si>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</si>
  <si>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</si>
  <si>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</si>
  <si>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</si>
  <si>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</si>
  <si>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</si>
  <si>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</si>
  <si>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</si>
  <si>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</si>
  <si>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</si>
  <si>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</si>
  <si>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</si>
  <si>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</si>
  <si>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</si>
  <si>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</si>
  <si>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</si>
  <si>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</si>
  <si>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</si>
  <si>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</si>
  <si>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</si>
  <si>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</si>
  <si>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</si>
  <si>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</si>
  <si>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</si>
  <si>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</si>
  <si>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</si>
  <si>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</si>
  <si>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</si>
  <si>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</si>
  <si>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</si>
  <si>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</si>
  <si>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</si>
  <si>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</si>
  <si>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</si>
  <si>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</si>
  <si>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</si>
  <si>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</si>
  <si>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</si>
  <si>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</si>
  <si>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</si>
  <si>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</si>
  <si>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</si>
  <si>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</si>
  <si>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</si>
  <si>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</si>
  <si>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</si>
  <si>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</si>
  <si>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</si>
  <si>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</si>
  <si>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</si>
  <si>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</si>
  <si>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</si>
  <si>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</si>
  <si>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</si>
  <si>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</si>
  <si>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</si>
  <si>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</si>
  <si>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</si>
  <si>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</si>
  <si>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</si>
  <si>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</si>
  <si>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</si>
  <si>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</si>
  <si>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</si>
  <si>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</si>
  <si>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</si>
  <si>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</si>
  <si>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</si>
  <si>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</si>
  <si>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</si>
  <si>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</si>
  <si>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</si>
  <si>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</si>
  <si>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</si>
  <si>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</si>
  <si>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</si>
  <si>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</si>
  <si>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</si>
  <si>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</si>
  <si>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</si>
  <si>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</si>
  <si>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</si>
  <si>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</si>
  <si>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</si>
  <si>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</si>
  <si>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</si>
  <si>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</si>
  <si>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</si>
  <si>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</si>
  <si>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</si>
  <si>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</si>
  <si>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</si>
  <si>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</si>
  <si>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</si>
  <si>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</si>
  <si>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</si>
  <si>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</si>
  <si>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</si>
  <si>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</si>
  <si>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</si>
  <si>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</si>
  <si>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</si>
  <si>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</si>
  <si>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</si>
  <si>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</si>
  <si>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</si>
  <si>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</si>
  <si>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</si>
  <si>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</si>
  <si>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</si>
  <si>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</si>
  <si>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</si>
  <si>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</si>
  <si>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</si>
  <si>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</si>
  <si>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</si>
  <si>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</si>
  <si>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</si>
  <si>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</si>
  <si>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</si>
  <si>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</si>
  <si>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</si>
  <si>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</si>
  <si>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</si>
  <si>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</si>
  <si>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</si>
  <si>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</si>
  <si>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</si>
  <si>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</si>
  <si>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</si>
  <si>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</si>
  <si>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</si>
  <si>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</si>
  <si>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</si>
  <si>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</si>
  <si>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</si>
  <si>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</si>
  <si>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</si>
  <si>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</si>
  <si>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</si>
  <si>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</si>
  <si>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</si>
  <si>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</si>
  <si>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</si>
  <si>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</si>
  <si>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</si>
  <si>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</si>
  <si>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</si>
  <si>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</si>
  <si>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</si>
  <si>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</si>
  <si>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</si>
  <si>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</si>
  <si>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</si>
  <si>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</si>
  <si>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</si>
  <si>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</si>
  <si>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</si>
  <si>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</si>
  <si>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</si>
  <si>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</si>
  <si>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</si>
  <si>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</si>
  <si>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</si>
  <si>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</si>
  <si>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</si>
  <si>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</si>
  <si>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</si>
  <si>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</si>
  <si>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</si>
  <si>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</si>
  <si>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</si>
  <si>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</si>
  <si>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</si>
  <si>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</si>
  <si>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</si>
  <si>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</si>
  <si>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</si>
  <si>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</si>
  <si>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</si>
  <si>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</si>
  <si>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</si>
  <si>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</si>
  <si>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</si>
  <si>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</si>
  <si>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</si>
  <si>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</si>
  <si>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</si>
  <si>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</si>
  <si>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</si>
  <si>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</si>
  <si>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</si>
  <si>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</si>
  <si>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</si>
  <si>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</si>
  <si>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</si>
  <si>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</si>
  <si>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</si>
  <si>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</si>
  <si>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</si>
  <si>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</si>
  <si>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</si>
  <si>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</si>
  <si>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</si>
  <si>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</si>
  <si>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</si>
  <si>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</si>
  <si>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</si>
  <si>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</si>
  <si>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</si>
  <si>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</si>
  <si>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</si>
  <si>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</si>
  <si>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</si>
  <si>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</si>
  <si>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</si>
  <si>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</si>
  <si>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</si>
  <si>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</si>
  <si>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</si>
  <si>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</si>
  <si>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</si>
  <si>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</si>
  <si>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</si>
  <si>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</si>
  <si>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</si>
  <si>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</si>
  <si>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</si>
  <si>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</si>
  <si>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</si>
  <si>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</si>
  <si>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</si>
  <si>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</si>
  <si>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</si>
  <si>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</si>
  <si>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</si>
  <si>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</si>
  <si>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</si>
  <si>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</si>
  <si>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</si>
  <si>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</si>
  <si>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</si>
  <si>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</si>
  <si>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</si>
  <si>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</si>
  <si>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</si>
  <si>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</si>
  <si>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</si>
  <si>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</si>
  <si>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</si>
  <si>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</si>
  <si>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</si>
  <si>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</si>
  <si>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</si>
  <si>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</si>
  <si>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</si>
  <si>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</si>
  <si>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</si>
  <si>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</si>
  <si>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</si>
  <si>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</si>
  <si>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</si>
  <si>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</si>
  <si>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</si>
  <si>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</si>
  <si>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</si>
  <si>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</si>
  <si>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</si>
  <si>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</si>
  <si>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</si>
  <si>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</si>
  <si>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</si>
  <si>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</si>
  <si>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</si>
  <si>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</si>
  <si>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</si>
  <si>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</si>
  <si>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</si>
  <si>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</si>
  <si>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</si>
  <si>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</si>
  <si>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</si>
  <si>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</si>
  <si>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</si>
  <si>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</si>
  <si>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</si>
  <si>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</si>
  <si>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</si>
  <si>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</si>
  <si>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</si>
  <si>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</si>
  <si>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</si>
  <si>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</si>
  <si>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</si>
  <si>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</si>
  <si>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</si>
  <si>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</si>
  <si>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</si>
  <si>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</si>
  <si>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</si>
  <si>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</si>
  <si>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</si>
  <si>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</si>
  <si>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</si>
  <si>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</si>
  <si>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</si>
  <si>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</si>
  <si>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</si>
  <si>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</si>
  <si>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</si>
  <si>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</si>
  <si>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</si>
  <si>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</si>
  <si>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</si>
  <si>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</si>
  <si>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</si>
  <si>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</si>
  <si>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</si>
  <si>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</si>
  <si>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</si>
  <si>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</si>
  <si>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</si>
  <si>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</si>
  <si>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</si>
  <si>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</si>
  <si>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</si>
  <si>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</si>
  <si>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</si>
  <si>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</si>
  <si>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</si>
  <si>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</si>
  <si>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</si>
  <si>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</si>
  <si>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</si>
  <si>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</si>
  <si>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</si>
  <si>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</si>
  <si>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</si>
  <si>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</si>
  <si>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</si>
  <si>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</si>
  <si>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</si>
  <si>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</si>
  <si>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</si>
  <si>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</si>
  <si>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</si>
  <si>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</si>
  <si>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</si>
  <si>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</si>
  <si>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</si>
  <si>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</si>
  <si>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</si>
  <si>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</si>
  <si>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</si>
  <si>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</si>
  <si>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</si>
  <si>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</si>
  <si>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</si>
  <si>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</si>
  <si>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</si>
  <si>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</si>
  <si>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</si>
  <si>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</si>
  <si>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</si>
  <si>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</si>
  <si>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</si>
  <si>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</si>
  <si>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</si>
  <si>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</si>
  <si>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</si>
  <si>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</si>
  <si>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</si>
  <si>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</si>
  <si>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</si>
  <si>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</si>
  <si>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</si>
  <si>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</si>
  <si>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</si>
  <si>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</si>
  <si>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</si>
  <si>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</si>
  <si>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</si>
  <si>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</si>
  <si>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</si>
  <si>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</si>
  <si>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</si>
  <si>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</si>
  <si>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</si>
  <si>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</si>
  <si>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</si>
  <si>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</si>
  <si>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</si>
  <si>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</si>
  <si>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</si>
  <si>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</si>
  <si>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</si>
  <si>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</si>
  <si>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</si>
  <si>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</si>
  <si>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</si>
  <si>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</si>
  <si>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</si>
  <si>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</si>
  <si>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</si>
  <si>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</si>
  <si>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</si>
  <si>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</si>
  <si>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</si>
  <si>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</si>
  <si>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</si>
  <si>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</si>
  <si>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</si>
  <si>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</si>
  <si>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</si>
  <si>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</si>
  <si>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</si>
  <si>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</si>
  <si>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</si>
  <si>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</si>
  <si>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</si>
  <si>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</si>
  <si>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</si>
  <si>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</si>
  <si>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</si>
  <si>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</si>
  <si>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</si>
  <si>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</si>
  <si>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</si>
  <si>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</si>
  <si>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</si>
  <si>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</si>
  <si>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</si>
  <si>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</si>
  <si>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</si>
  <si>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</si>
  <si>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</si>
  <si>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</si>
  <si>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</si>
  <si>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</si>
  <si>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</si>
  <si>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</si>
  <si>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</si>
  <si>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</si>
  <si>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</si>
  <si>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</si>
  <si>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</si>
  <si>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</si>
  <si>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</si>
  <si>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</si>
  <si>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</si>
  <si>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</si>
  <si>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</si>
  <si>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</si>
  <si>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</si>
  <si>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</si>
  <si>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</si>
  <si>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</si>
  <si>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</si>
  <si>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</si>
  <si>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</si>
  <si>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</si>
  <si>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</si>
  <si>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</si>
  <si>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</si>
  <si>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</si>
  <si>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</si>
  <si>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</si>
  <si>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</si>
  <si>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</si>
  <si>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</si>
  <si>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</si>
  <si>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</si>
  <si>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</si>
  <si>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</si>
  <si>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</si>
  <si>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</si>
  <si>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</si>
  <si>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</si>
  <si>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</si>
  <si>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</si>
  <si>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</si>
  <si>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</si>
  <si>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</si>
  <si>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</si>
  <si>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</si>
  <si>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</si>
  <si>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</si>
  <si>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</si>
  <si>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</si>
  <si>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</si>
  <si>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</si>
  <si>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</si>
  <si>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</si>
  <si>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</si>
  <si>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</si>
  <si>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</si>
  <si>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</si>
  <si>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</si>
  <si>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</si>
  <si>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</si>
  <si>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</si>
  <si>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</si>
  <si>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</si>
  <si>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</si>
  <si>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</si>
  <si>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</si>
  <si>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</si>
  <si>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</si>
  <si>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</si>
  <si>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</si>
  <si>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</si>
  <si>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</si>
  <si>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</si>
  <si>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</si>
  <si>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</si>
  <si>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</si>
  <si>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</si>
  <si>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</si>
  <si>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</si>
  <si>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</si>
  <si>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</si>
  <si>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</si>
  <si>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</si>
  <si>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</si>
  <si>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</si>
  <si>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</si>
  <si>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</si>
  <si>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</si>
  <si>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</si>
  <si>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</si>
  <si>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</si>
  <si>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</si>
  <si>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</si>
  <si>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</si>
  <si>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</si>
  <si>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</si>
  <si>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</si>
  <si>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</si>
  <si>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</si>
  <si>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</si>
  <si>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</si>
  <si>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</si>
  <si>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</si>
  <si>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</si>
  <si>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</si>
  <si>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</si>
  <si>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</si>
  <si>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</si>
  <si>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</si>
  <si>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</si>
  <si>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</si>
  <si>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</si>
  <si>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</si>
  <si>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</si>
  <si>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</si>
  <si>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</si>
  <si>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</si>
  <si>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</si>
  <si>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</si>
  <si>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</si>
  <si>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</si>
  <si>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</si>
  <si>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</si>
  <si>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</si>
  <si>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</si>
  <si>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</si>
  <si>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</si>
  <si>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</si>
  <si>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</si>
  <si>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</si>
  <si>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</si>
  <si>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</si>
  <si>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</si>
  <si>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</si>
  <si>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</si>
  <si>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</si>
  <si>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</si>
  <si>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</si>
  <si>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</si>
  <si>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</si>
  <si>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</si>
  <si>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</si>
  <si>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</si>
  <si>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</si>
  <si>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</si>
  <si>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</si>
  <si>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</si>
  <si>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</si>
  <si>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</si>
  <si>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</si>
  <si>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</si>
  <si>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</si>
  <si>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</si>
  <si>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</si>
  <si>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</si>
  <si>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</si>
  <si>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</si>
  <si>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</si>
  <si>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</si>
  <si>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</si>
  <si>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</si>
  <si>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</si>
  <si>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</si>
  <si>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</si>
  <si>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</si>
  <si>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</si>
  <si>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</si>
  <si>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</si>
  <si>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</si>
  <si>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</si>
  <si>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</si>
  <si>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</si>
  <si>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</si>
  <si>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</si>
  <si>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</si>
  <si>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</si>
  <si>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</si>
  <si>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</si>
  <si>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</si>
  <si>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</si>
  <si>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</si>
  <si>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</si>
  <si>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</si>
  <si>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</si>
  <si>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</si>
  <si>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</si>
  <si>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</si>
  <si>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</si>
  <si>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</si>
  <si>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</si>
  <si>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</si>
  <si>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</si>
  <si>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</si>
  <si>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</si>
  <si>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</si>
  <si>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</si>
  <si>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</si>
  <si>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</si>
  <si>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</si>
  <si>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</si>
  <si>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</si>
  <si>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</si>
  <si>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</si>
  <si>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</si>
  <si>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</si>
  <si>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</si>
  <si>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</si>
  <si>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</si>
  <si>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</si>
  <si>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</si>
  <si>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</si>
  <si>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</si>
  <si>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</si>
  <si>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</si>
  <si>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Count of Employee Count</t>
  </si>
  <si>
    <t>Atrition</t>
  </si>
  <si>
    <t>Count of Attrition</t>
  </si>
  <si>
    <t>Martial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</si>
</sst>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3" xfId="0" applyBorder="1"/>
    <xf numFmtId="0" fontId="0" fillId="0" borderId="5" xfId="0" applyNumberFormat="1" applyBorder="1"/>
    <xf numFmtId="0" fontId="0" fillId="0" borderId="6" xfId="0" applyBorder="1"/>
    <xf numFmtId="0" fontId="0" fillId="0" borderId="7" xfId="0" applyNumberFormat="1" applyBorder="1"/>
    <xf numFmtId="0" fontId="0" fillId="0" borderId="8" xfId="0" applyNumberFormat="1" applyBorder="1"/>
    <xf numFmtId="0" fontId="0" fillId="0" borderId="9" xfId="0" applyBorder="1"/>
    <xf numFmtId="0" fontId="0" fillId="0" borderId="10" xfId="0" applyNumberFormat="1" applyBorder="1"/>
    <xf numFmtId="9" fontId="0" fillId="0" borderId="0" xfId="1" applyFont="1"/>
    <xf numFmtId="10" fontId="0" fillId="0" borderId="0" xfId="1" applyNumberFormat="1" applyFont="1"/>
    <xf numFmtId="170" fontId="0" fillId="0" borderId="0" xfId="0" applyNumberFormat="1"/>
    <xf numFmtId="1" fontId="0" fillId="0" borderId="0" xfId="0" applyNumberFormat="1"/>
    <xf numFmtId="0" fontId="0" fillId="2" borderId="0" xfId="0" applyFill="1"/>
    <xf numFmtId="0" fontId="0" fillId="2" borderId="0" xfId="0" applyFill="1" applyAlignment="1"/>
    <xf numFmtId="170" fontId="0" fillId="0" borderId="5" xfId="0" applyNumberFormat="1" applyBorder="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7" xfId="0" applyBorder="1" applyAlignment="1">
      <alignment horizontal="left"/>
    </xf>
    <xf numFmtId="10" fontId="0" fillId="0" borderId="3" xfId="0" applyNumberFormat="1" applyBorder="1"/>
    <xf numFmtId="10" fontId="0" fillId="0" borderId="4" xfId="0" applyNumberFormat="1" applyBorder="1"/>
    <xf numFmtId="10" fontId="0" fillId="0" borderId="5" xfId="0" applyNumberFormat="1" applyBorder="1"/>
  </cellXfs>
  <cellStyles count="2">
    <cellStyle name="Normal" xfId="0" builtinId="0"/>
    <cellStyle name="Percent" xfId="1" builtinId="5"/>
  </cellStyles>
  <dxfs count="35">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fill>
        <patternFill>
          <bgColor theme="0"/>
        </patternFill>
      </fill>
    </dxf>
    <dxf>
      <numFmt numFmtId="170"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34"/>
      <tableStyleElement type="firstRowStripe" dxfId="33"/>
      <tableStyleElement type="secondRowStripe" dxfId="32"/>
    </tableStyle>
    <tableStyle name="Slicer" pivot="0" table="0" count="3" xr9:uid="{89DC2B8A-507B-4E8B-B7FE-A19DE5FA1608}">
      <tableStyleElement type="wholeTable" dxfId="30"/>
    </tableStyle>
  </tableStyles>
  <colors>
    <mruColors>
      <color rgb="FFE040FB"/>
      <color rgb="FFF808D0"/>
      <color rgb="FFC8EDC7"/>
      <color rgb="FFEE95FD"/>
      <color rgb="FFE456FC"/>
      <color rgb="FF602928"/>
      <color rgb="FF704852"/>
      <color rgb="FF72465D"/>
      <color rgb="FF3A3A22"/>
    </mruColors>
  </colors>
  <extLst>
    <ext xmlns:x14="http://schemas.microsoft.com/office/spreadsheetml/2009/9/main" uri="{46F421CA-312F-682f-3DD2-61675219B42D}">
      <x14:dxfs count="2">
        <dxf>
          <fill>
            <gradientFill degree="90">
              <stop position="0">
                <color theme="1" tint="0.1490218817712943"/>
              </stop>
              <stop position="1">
                <color theme="0" tint="-0.49803155613879818"/>
              </stop>
            </gradientFill>
          </fill>
        </dxf>
        <dxf>
          <font>
            <b/>
            <i val="0"/>
            <name val="Arial"/>
            <family val="2"/>
            <scheme val="none"/>
          </font>
          <fill>
            <gradientFill>
              <stop position="0">
                <color theme="9" tint="-0.49803155613879818"/>
              </stop>
              <stop position="1">
                <color theme="9" tint="0.40000610370189521"/>
              </stop>
            </gradientFill>
          </fill>
        </dxf>
      </x14:dxfs>
    </ext>
    <ext xmlns:x14="http://schemas.microsoft.com/office/spreadsheetml/2009/9/main" uri="{EB79DEF2-80B8-43e5-95BD-54CBDDF9020C}">
      <x14:slicerStyles defaultSlicerStyle="SlicerStyleLight1">
        <x14:slicerStyle name="Slicer">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FFBC-4626-B3EE-157D5FBD138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614053305642094E-2"/>
          <c:y val="0.11415525114155251"/>
          <c:w val="0.92384908272758737"/>
          <c:h val="0.74885844748858443"/>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C7E7-470D-8D92-42349230D312}"/>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C7E7-470D-8D92-42349230D312}"/>
            </c:ext>
          </c:extLst>
        </c:ser>
        <c:dLbls>
          <c:showLegendKey val="0"/>
          <c:showVal val="0"/>
          <c:showCatName val="0"/>
          <c:showSerName val="0"/>
          <c:showPercent val="0"/>
          <c:showBubbleSize val="0"/>
        </c:dLbls>
        <c:gapWidth val="0"/>
        <c:overlap val="100"/>
        <c:axId val="1573899455"/>
        <c:axId val="1573892255"/>
      </c:barChart>
      <c:catAx>
        <c:axId val="1573899455"/>
        <c:scaling>
          <c:orientation val="minMax"/>
        </c:scaling>
        <c:delete val="1"/>
        <c:axPos val="l"/>
        <c:majorTickMark val="out"/>
        <c:minorTickMark val="none"/>
        <c:tickLblPos val="nextTo"/>
        <c:crossAx val="1573892255"/>
        <c:crosses val="autoZero"/>
        <c:auto val="1"/>
        <c:lblAlgn val="ctr"/>
        <c:lblOffset val="100"/>
        <c:noMultiLvlLbl val="0"/>
      </c:catAx>
      <c:valAx>
        <c:axId val="1573892255"/>
        <c:scaling>
          <c:orientation val="minMax"/>
          <c:max val="4"/>
        </c:scaling>
        <c:delete val="1"/>
        <c:axPos val="b"/>
        <c:numFmt formatCode="0.0" sourceLinked="1"/>
        <c:majorTickMark val="out"/>
        <c:minorTickMark val="none"/>
        <c:tickLblPos val="nextTo"/>
        <c:crossAx val="157389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Gender!$C$10:$C$11</c:f>
              <c:numCache>
                <c:formatCode>0%</c:formatCode>
                <c:ptCount val="2"/>
                <c:pt idx="0">
                  <c:v>0.4</c:v>
                </c:pt>
                <c:pt idx="1">
                  <c:v>0.6</c:v>
                </c:pt>
              </c:numCache>
            </c:numRef>
          </c:val>
          <c:extLst>
            <c:ext xmlns:c16="http://schemas.microsoft.com/office/drawing/2014/chart" uri="{C3380CC4-5D6E-409C-BE32-E72D297353CC}">
              <c16:uniqueId val="{00000000-518D-4928-9D6C-CB740ED04F5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190-4DF6-88A8-AAF6CE47D9B3}"/>
            </c:ext>
          </c:extLst>
        </c:ser>
        <c:dLbls>
          <c:dLblPos val="outEnd"/>
          <c:showLegendKey val="0"/>
          <c:showVal val="1"/>
          <c:showCatName val="0"/>
          <c:showSerName val="0"/>
          <c:showPercent val="0"/>
          <c:showBubbleSize val="0"/>
        </c:dLbls>
        <c:gapWidth val="182"/>
        <c:axId val="1146541263"/>
        <c:axId val="1146541743"/>
      </c:barChart>
      <c:catAx>
        <c:axId val="1146541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41743"/>
        <c:crosses val="autoZero"/>
        <c:auto val="1"/>
        <c:lblAlgn val="ctr"/>
        <c:lblOffset val="100"/>
        <c:noMultiLvlLbl val="0"/>
      </c:catAx>
      <c:valAx>
        <c:axId val="114654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4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2-6749-49B2-84D2-D79381062C6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D35-425C-9B48-66DFD600F4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E68-4097-86FC-CA994A8FD9CA}"/>
            </c:ext>
          </c:extLst>
        </c:ser>
        <c:dLbls>
          <c:showLegendKey val="0"/>
          <c:showVal val="0"/>
          <c:showCatName val="0"/>
          <c:showSerName val="0"/>
          <c:showPercent val="0"/>
          <c:showBubbleSize val="0"/>
        </c:dLbls>
        <c:gapWidth val="150"/>
        <c:overlap val="100"/>
        <c:axId val="1760974127"/>
        <c:axId val="1760977487"/>
      </c:barChart>
      <c:catAx>
        <c:axId val="1760974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77487"/>
        <c:crosses val="autoZero"/>
        <c:auto val="1"/>
        <c:lblAlgn val="ctr"/>
        <c:lblOffset val="100"/>
        <c:noMultiLvlLbl val="0"/>
      </c:catAx>
      <c:valAx>
        <c:axId val="1760977487"/>
        <c:scaling>
          <c:orientation val="minMax"/>
        </c:scaling>
        <c:delete val="1"/>
        <c:axPos val="l"/>
        <c:numFmt formatCode="General" sourceLinked="1"/>
        <c:majorTickMark val="out"/>
        <c:minorTickMark val="none"/>
        <c:tickLblPos val="nextTo"/>
        <c:crossAx val="176097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'Materials status'!$E$4:$E$6</c:f>
              <c:strCache>
                <c:ptCount val="3"/>
                <c:pt idx="0">
                  <c:v>Divorced</c:v>
                </c:pt>
                <c:pt idx="1">
                  <c:v>Married</c:v>
                </c:pt>
                <c:pt idx="2">
                  <c:v>Single</c:v>
                </c:pt>
              </c:strCache>
            </c:strRef>
          </c:cat>
          <c:val>
            <c:numRef>
              <c:f>'Materials status'!$F$4:$F$6</c:f>
              <c:numCache>
                <c:formatCode>General</c:formatCode>
                <c:ptCount val="3"/>
                <c:pt idx="0">
                  <c:v>327</c:v>
                </c:pt>
                <c:pt idx="1">
                  <c:v>673</c:v>
                </c:pt>
                <c:pt idx="2">
                  <c:v>470</c:v>
                </c:pt>
              </c:numCache>
            </c:numRef>
          </c:val>
          <c:extLst>
            <c:ext xmlns:c16="http://schemas.microsoft.com/office/drawing/2014/chart" uri="{C3380CC4-5D6E-409C-BE32-E72D297353CC}">
              <c16:uniqueId val="{00000000-6E91-4D9B-9FFA-F71C61952629}"/>
            </c:ext>
          </c:extLst>
        </c:ser>
        <c:dLbls>
          <c:showLegendKey val="0"/>
          <c:showVal val="0"/>
          <c:showCatName val="0"/>
          <c:showSerName val="0"/>
          <c:showPercent val="0"/>
          <c:showBubbleSize val="0"/>
        </c:dLbls>
        <c:gapWidth val="150"/>
        <c:axId val="1803598207"/>
        <c:axId val="1803603007"/>
      </c:barChart>
      <c:catAx>
        <c:axId val="180359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603007"/>
        <c:crosses val="autoZero"/>
        <c:auto val="1"/>
        <c:lblAlgn val="ctr"/>
        <c:lblOffset val="100"/>
        <c:noMultiLvlLbl val="0"/>
      </c:catAx>
      <c:valAx>
        <c:axId val="180360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9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8940429915178436"/>
          <c:y val="0.19577194325525296"/>
          <c:w val="0.57153793655974605"/>
          <c:h val="0.5766417613624214"/>
        </c:manualLayout>
      </c:layout>
      <c:doughnutChart>
        <c:varyColors val="1"/>
        <c:ser>
          <c:idx val="0"/>
          <c:order val="0"/>
          <c:dPt>
            <c:idx val="0"/>
            <c:bubble3D val="0"/>
            <c:spPr>
              <a:gradFill>
                <a:gsLst>
                  <a:gs pos="22000">
                    <a:schemeClr val="bg2">
                      <a:lumMod val="65000"/>
                    </a:schemeClr>
                  </a:gs>
                  <a:gs pos="65000">
                    <a:srgbClr val="FFC000"/>
                  </a:gs>
                  <a:gs pos="91000">
                    <a:srgbClr val="FFC000"/>
                  </a:gs>
                  <a:gs pos="79000">
                    <a:srgbClr val="FFC000"/>
                  </a:gs>
                  <a:gs pos="100000">
                    <a:srgbClr val="FFC000"/>
                  </a:gs>
                </a:gsLst>
                <a:lin ang="5400000" scaled="1"/>
              </a:gradFill>
              <a:ln w="19050">
                <a:solidFill>
                  <a:schemeClr val="lt1"/>
                </a:solidFill>
              </a:ln>
              <a:effectLst/>
            </c:spPr>
            <c:extLst>
              <c:ext xmlns:c16="http://schemas.microsoft.com/office/drawing/2014/chart" uri="{C3380CC4-5D6E-409C-BE32-E72D297353CC}">
                <c16:uniqueId val="{00000001-F6E4-4E7B-B0FE-4A2614C970A3}"/>
              </c:ext>
            </c:extLst>
          </c:dPt>
          <c:dPt>
            <c:idx val="1"/>
            <c:bubble3D val="0"/>
            <c:spPr>
              <a:noFill/>
              <a:ln w="19050">
                <a:noFill/>
              </a:ln>
              <a:effectLst/>
            </c:spPr>
            <c:extLst>
              <c:ext xmlns:c16="http://schemas.microsoft.com/office/drawing/2014/chart" uri="{C3380CC4-5D6E-409C-BE32-E72D297353CC}">
                <c16:uniqueId val="{00000003-F6E4-4E7B-B0FE-4A2614C970A3}"/>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F6E4-4E7B-B0FE-4A2614C970A3}"/>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614053305642094E-2"/>
          <c:y val="0.11415525114155251"/>
          <c:w val="0.92384908272758737"/>
          <c:h val="0.74885844748858443"/>
        </c:manualLayout>
      </c:layout>
      <c:barChart>
        <c:barDir val="bar"/>
        <c:grouping val="stacked"/>
        <c:varyColors val="0"/>
        <c:ser>
          <c:idx val="0"/>
          <c:order val="0"/>
          <c:spPr>
            <a:solidFill>
              <a:srgbClr val="3A3A22"/>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7D1E-48C4-81AD-BF41FCF5944C}"/>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7D1E-48C4-81AD-BF41FCF5944C}"/>
            </c:ext>
          </c:extLst>
        </c:ser>
        <c:dLbls>
          <c:showLegendKey val="0"/>
          <c:showVal val="0"/>
          <c:showCatName val="0"/>
          <c:showSerName val="0"/>
          <c:showPercent val="0"/>
          <c:showBubbleSize val="0"/>
        </c:dLbls>
        <c:gapWidth val="0"/>
        <c:overlap val="100"/>
        <c:axId val="1573899455"/>
        <c:axId val="1573892255"/>
      </c:barChart>
      <c:catAx>
        <c:axId val="1573899455"/>
        <c:scaling>
          <c:orientation val="minMax"/>
        </c:scaling>
        <c:delete val="1"/>
        <c:axPos val="l"/>
        <c:majorTickMark val="out"/>
        <c:minorTickMark val="none"/>
        <c:tickLblPos val="nextTo"/>
        <c:crossAx val="1573892255"/>
        <c:crosses val="autoZero"/>
        <c:auto val="1"/>
        <c:lblAlgn val="ctr"/>
        <c:lblOffset val="100"/>
        <c:noMultiLvlLbl val="0"/>
      </c:catAx>
      <c:valAx>
        <c:axId val="1573892255"/>
        <c:scaling>
          <c:orientation val="minMax"/>
          <c:max val="4"/>
        </c:scaling>
        <c:delete val="1"/>
        <c:axPos val="b"/>
        <c:numFmt formatCode="0.0" sourceLinked="1"/>
        <c:majorTickMark val="out"/>
        <c:minorTickMark val="none"/>
        <c:tickLblPos val="nextTo"/>
        <c:crossAx val="157389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c:spPr>
          <c:dPt>
            <c:idx val="0"/>
            <c:bubble3D val="0"/>
            <c:spPr>
              <a:gradFill>
                <a:gsLst>
                  <a:gs pos="22000">
                    <a:srgbClr val="002060"/>
                  </a:gs>
                  <a:gs pos="65000">
                    <a:schemeClr val="accent5">
                      <a:lumMod val="60000"/>
                      <a:lumOff val="40000"/>
                    </a:schemeClr>
                  </a:gs>
                  <a:gs pos="91000">
                    <a:schemeClr val="accent5">
                      <a:lumMod val="60000"/>
                      <a:lumOff val="40000"/>
                    </a:schemeClr>
                  </a:gs>
                  <a:gs pos="79000">
                    <a:schemeClr val="accent5">
                      <a:lumMod val="60000"/>
                      <a:lumOff val="40000"/>
                    </a:schemeClr>
                  </a:gs>
                  <a:gs pos="100000">
                    <a:schemeClr val="accent5">
                      <a:lumMod val="60000"/>
                      <a:lumOff val="40000"/>
                    </a:schemeClr>
                  </a:gs>
                </a:gsLst>
                <a:lin ang="5400000" scaled="1"/>
              </a:gradFill>
              <a:ln w="19050">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9ED-4E5A-ACAE-522100EAC340}"/>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79ED-4E5A-ACAE-522100EAC340}"/>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79ED-4E5A-ACAE-522100EAC340}"/>
            </c:ext>
          </c:extLst>
        </c:ser>
        <c:dLbls>
          <c:showLegendKey val="0"/>
          <c:showVal val="0"/>
          <c:showCatName val="0"/>
          <c:showSerName val="0"/>
          <c:showPercent val="0"/>
          <c:showBubbleSize val="0"/>
          <c:showLeaderLines val="1"/>
        </c:dLbls>
        <c:firstSliceAng val="1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9502-400A-BB9A-1C1636C1A696}"/>
              </c:ext>
            </c:extLst>
          </c:dPt>
          <c:dPt>
            <c:idx val="1"/>
            <c:bubble3D val="0"/>
            <c:spPr>
              <a:gradFill>
                <a:gsLst>
                  <a:gs pos="0">
                    <a:schemeClr val="accent6">
                      <a:lumMod val="50000"/>
                    </a:schemeClr>
                  </a:gs>
                  <a:gs pos="100000">
                    <a:schemeClr val="accent6">
                      <a:lumMod val="40000"/>
                      <a:lumOff val="60000"/>
                    </a:schemeClr>
                  </a:gs>
                  <a:gs pos="76000">
                    <a:schemeClr val="accent6">
                      <a:lumMod val="75000"/>
                    </a:schemeClr>
                  </a:gs>
                  <a:gs pos="88000">
                    <a:schemeClr val="accent6">
                      <a:lumMod val="60000"/>
                      <a:lumOff val="40000"/>
                    </a:schemeClr>
                  </a:gs>
                </a:gsLst>
                <a:lin ang="5400000" scaled="1"/>
              </a:gradFill>
              <a:ln w="19050">
                <a:noFill/>
              </a:ln>
              <a:effectLst/>
            </c:spPr>
            <c:extLst>
              <c:ext xmlns:c16="http://schemas.microsoft.com/office/drawing/2014/chart" uri="{C3380CC4-5D6E-409C-BE32-E72D297353CC}">
                <c16:uniqueId val="{00000003-9502-400A-BB9A-1C1636C1A696}"/>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9502-400A-BB9A-1C1636C1A696}"/>
            </c:ext>
          </c:extLst>
        </c:ser>
        <c:dLbls>
          <c:showLegendKey val="0"/>
          <c:showVal val="0"/>
          <c:showCatName val="0"/>
          <c:showSerName val="0"/>
          <c:showPercent val="0"/>
          <c:showBubbleSize val="0"/>
          <c:showLeaderLines val="1"/>
        </c:dLbls>
        <c:firstSliceAng val="1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602928"/>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602928"/>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AB0-47AE-AD5C-6B2138A5AB85}"/>
            </c:ext>
          </c:extLst>
        </c:ser>
        <c:dLbls>
          <c:dLblPos val="outEnd"/>
          <c:showLegendKey val="0"/>
          <c:showVal val="1"/>
          <c:showCatName val="0"/>
          <c:showSerName val="0"/>
          <c:showPercent val="0"/>
          <c:showBubbleSize val="0"/>
        </c:dLbls>
        <c:gapWidth val="182"/>
        <c:axId val="1146541263"/>
        <c:axId val="1146541743"/>
      </c:barChart>
      <c:catAx>
        <c:axId val="1146541263"/>
        <c:scaling>
          <c:orientation val="minMax"/>
        </c:scaling>
        <c:delete val="0"/>
        <c:axPos val="l"/>
        <c:numFmt formatCode="General" sourceLinked="1"/>
        <c:majorTickMark val="out"/>
        <c:minorTickMark val="none"/>
        <c:tickLblPos val="nextTo"/>
        <c:spPr>
          <a:noFill/>
          <a:ln w="9525" cap="flat" cmpd="sng" algn="ctr">
            <a:solidFill>
              <a:schemeClr val="accent1">
                <a:lumMod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146541743"/>
        <c:crosses val="autoZero"/>
        <c:auto val="1"/>
        <c:lblAlgn val="ctr"/>
        <c:lblOffset val="100"/>
        <c:noMultiLvlLbl val="0"/>
      </c:catAx>
      <c:valAx>
        <c:axId val="114654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14654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6">
                  <a:lumMod val="60000"/>
                  <a:lumOff val="40000"/>
                </a:schemeClr>
              </a:gs>
              <a:gs pos="0">
                <a:schemeClr val="accent6"/>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7"/>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8"/>
        <c:spPr>
          <a:gradFill>
            <a:gsLst>
              <a:gs pos="100000">
                <a:schemeClr val="accent4">
                  <a:lumMod val="60000"/>
                  <a:lumOff val="40000"/>
                </a:schemeClr>
              </a:gs>
              <a:gs pos="0">
                <a:schemeClr val="accent4"/>
              </a:gs>
            </a:gsLst>
            <a:lin ang="5400000" scaled="0"/>
          </a:gradFill>
          <a:ln w="19050">
            <a:solidFill>
              <a:schemeClr val="lt1"/>
            </a:solidFill>
          </a:ln>
          <a:effectLst/>
        </c:spPr>
      </c:pivotFmt>
    </c:pivotFmts>
    <c:plotArea>
      <c:layout>
        <c:manualLayout>
          <c:layoutTarget val="inner"/>
          <c:xMode val="edge"/>
          <c:yMode val="edge"/>
          <c:x val="9.6938422005524882E-2"/>
          <c:y val="0"/>
          <c:w val="0.63562401906293964"/>
          <c:h val="0.88306555736588632"/>
        </c:manualLayout>
      </c:layout>
      <c:pieChart>
        <c:varyColors val="1"/>
        <c:ser>
          <c:idx val="0"/>
          <c:order val="0"/>
          <c:tx>
            <c:strRef>
              <c:f>'Dept wise Attrition'!$B$3</c:f>
              <c:strCache>
                <c:ptCount val="1"/>
                <c:pt idx="0">
                  <c:v>Total</c:v>
                </c:pt>
              </c:strCache>
            </c:strRef>
          </c:tx>
          <c:dPt>
            <c:idx val="0"/>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1-3067-4048-8EA3-8AE3118DD234}"/>
              </c:ext>
            </c:extLst>
          </c:dPt>
          <c:dPt>
            <c:idx val="1"/>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3-3067-4048-8EA3-8AE3118DD234}"/>
              </c:ext>
            </c:extLst>
          </c:dPt>
          <c:dPt>
            <c:idx val="2"/>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5-3067-4048-8EA3-8AE3118DD2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067-4048-8EA3-8AE3118DD23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808D0"/>
              </a:gs>
              <a:gs pos="100000">
                <a:schemeClr val="accent1">
                  <a:lumMod val="45000"/>
                  <a:lumOff val="55000"/>
                </a:schemeClr>
              </a:gs>
              <a:gs pos="100000">
                <a:schemeClr val="accent1">
                  <a:lumMod val="45000"/>
                  <a:lumOff val="55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808D0"/>
              </a:gs>
              <a:gs pos="100000">
                <a:schemeClr val="accent1">
                  <a:lumMod val="45000"/>
                  <a:lumOff val="55000"/>
                </a:schemeClr>
              </a:gs>
              <a:gs pos="100000">
                <a:schemeClr val="accent1">
                  <a:lumMod val="45000"/>
                  <a:lumOff val="55000"/>
                </a:schemeClr>
              </a:gs>
              <a:gs pos="100000">
                <a:schemeClr val="bg1"/>
              </a:gs>
            </a:gsLst>
            <a:lin ang="5400000" scaled="1"/>
          </a:gradFill>
          <a:ln>
            <a:noFill/>
          </a:ln>
          <a:effectLst/>
        </c:spPr>
        <c:dLbl>
          <c:idx val="0"/>
          <c:layout>
            <c:manualLayout>
              <c:x val="0"/>
              <c:y val="-0.414382231559359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F808D0"/>
              </a:gs>
              <a:gs pos="100000">
                <a:schemeClr val="accent1">
                  <a:lumMod val="45000"/>
                  <a:lumOff val="55000"/>
                </a:schemeClr>
              </a:gs>
              <a:gs pos="100000">
                <a:schemeClr val="accent1">
                  <a:lumMod val="45000"/>
                  <a:lumOff val="55000"/>
                </a:schemeClr>
              </a:gs>
              <a:gs pos="100000">
                <a:schemeClr val="bg1"/>
              </a:gs>
            </a:gsLst>
            <a:lin ang="5400000" scaled="1"/>
          </a:gradFill>
          <a:ln>
            <a:noFill/>
          </a:ln>
          <a:effectLst/>
        </c:spPr>
        <c:dLbl>
          <c:idx val="0"/>
          <c:layout>
            <c:manualLayout>
              <c:x val="0"/>
              <c:y val="-0.227241868919648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F808D0"/>
              </a:gs>
              <a:gs pos="100000">
                <a:schemeClr val="accent1">
                  <a:lumMod val="45000"/>
                  <a:lumOff val="55000"/>
                </a:schemeClr>
              </a:gs>
              <a:gs pos="100000">
                <a:schemeClr val="accent1">
                  <a:lumMod val="45000"/>
                  <a:lumOff val="55000"/>
                </a:schemeClr>
              </a:gs>
              <a:gs pos="100000">
                <a:schemeClr val="bg1"/>
              </a:gs>
            </a:gsLst>
            <a:lin ang="5400000" scaled="1"/>
          </a:gradFill>
          <a:ln>
            <a:noFill/>
          </a:ln>
          <a:effectLst/>
        </c:spPr>
        <c:dLbl>
          <c:idx val="0"/>
          <c:layout>
            <c:manualLayout>
              <c:x val="-6.347898779986184E-17"/>
              <c:y val="-0.1804567782597209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808D0"/>
              </a:gs>
              <a:gs pos="100000">
                <a:schemeClr val="accent1">
                  <a:lumMod val="45000"/>
                  <a:lumOff val="55000"/>
                </a:schemeClr>
              </a:gs>
              <a:gs pos="100000">
                <a:schemeClr val="accent1">
                  <a:lumMod val="45000"/>
                  <a:lumOff val="55000"/>
                </a:schemeClr>
              </a:gs>
              <a:gs pos="100000">
                <a:schemeClr val="bg1"/>
              </a:gs>
            </a:gsLst>
            <a:lin ang="5400000" scaled="1"/>
          </a:gradFill>
          <a:ln>
            <a:noFill/>
          </a:ln>
          <a:effectLst/>
        </c:spPr>
        <c:dLbl>
          <c:idx val="0"/>
          <c:layout>
            <c:manualLayout>
              <c:x val="0"/>
              <c:y val="-0.140355271979782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F808D0"/>
              </a:gs>
              <a:gs pos="100000">
                <a:schemeClr val="accent1">
                  <a:lumMod val="45000"/>
                  <a:lumOff val="55000"/>
                </a:schemeClr>
              </a:gs>
              <a:gs pos="100000">
                <a:schemeClr val="accent1">
                  <a:lumMod val="45000"/>
                  <a:lumOff val="55000"/>
                </a:schemeClr>
              </a:gs>
              <a:gs pos="100000">
                <a:schemeClr val="bg1"/>
              </a:gs>
            </a:gsLst>
            <a:lin ang="5400000" scaled="1"/>
          </a:gradFill>
          <a:ln>
            <a:noFill/>
          </a:ln>
          <a:effectLst/>
        </c:spPr>
        <c:dLbl>
          <c:idx val="0"/>
          <c:layout>
            <c:manualLayout>
              <c:x val="0"/>
              <c:y val="-0.1002537656998449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 by Age'!$B$3</c:f>
              <c:strCache>
                <c:ptCount val="1"/>
                <c:pt idx="0">
                  <c:v>Total</c:v>
                </c:pt>
              </c:strCache>
            </c:strRef>
          </c:tx>
          <c:spPr>
            <a:gradFill>
              <a:gsLst>
                <a:gs pos="0">
                  <a:srgbClr val="F808D0"/>
                </a:gs>
                <a:gs pos="100000">
                  <a:schemeClr val="accent1">
                    <a:lumMod val="45000"/>
                    <a:lumOff val="55000"/>
                  </a:schemeClr>
                </a:gs>
                <a:gs pos="100000">
                  <a:schemeClr val="accent1">
                    <a:lumMod val="45000"/>
                    <a:lumOff val="55000"/>
                  </a:schemeClr>
                </a:gs>
                <a:gs pos="100000">
                  <a:schemeClr val="bg1"/>
                </a:gs>
              </a:gsLst>
              <a:lin ang="5400000" scaled="1"/>
            </a:gradFill>
            <a:ln>
              <a:noFill/>
            </a:ln>
            <a:effectLst/>
          </c:spPr>
          <c:invertIfNegative val="0"/>
          <c:dLbls>
            <c:dLbl>
              <c:idx val="0"/>
              <c:layout>
                <c:manualLayout>
                  <c:x val="0"/>
                  <c:y val="-0.414382231559359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65-466E-98D6-6E2DDF972911}"/>
                </c:ext>
              </c:extLst>
            </c:dLbl>
            <c:dLbl>
              <c:idx val="1"/>
              <c:layout>
                <c:manualLayout>
                  <c:x val="0"/>
                  <c:y val="-0.227241868919648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65-466E-98D6-6E2DDF972911}"/>
                </c:ext>
              </c:extLst>
            </c:dLbl>
            <c:dLbl>
              <c:idx val="2"/>
              <c:layout>
                <c:manualLayout>
                  <c:x val="-6.347898779986184E-17"/>
                  <c:y val="-0.180456778259720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65-466E-98D6-6E2DDF972911}"/>
                </c:ext>
              </c:extLst>
            </c:dLbl>
            <c:dLbl>
              <c:idx val="3"/>
              <c:layout>
                <c:manualLayout>
                  <c:x val="0"/>
                  <c:y val="-0.140355271979782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65-466E-98D6-6E2DDF972911}"/>
                </c:ext>
              </c:extLst>
            </c:dLbl>
            <c:dLbl>
              <c:idx val="4"/>
              <c:layout>
                <c:manualLayout>
                  <c:x val="0"/>
                  <c:y val="-0.100253765699844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65-466E-98D6-6E2DDF97291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365-466E-98D6-6E2DDF972911}"/>
            </c:ext>
          </c:extLst>
        </c:ser>
        <c:dLbls>
          <c:dLblPos val="ctr"/>
          <c:showLegendKey val="0"/>
          <c:showVal val="1"/>
          <c:showCatName val="0"/>
          <c:showSerName val="0"/>
          <c:showPercent val="0"/>
          <c:showBubbleSize val="0"/>
        </c:dLbls>
        <c:gapWidth val="150"/>
        <c:overlap val="100"/>
        <c:axId val="1760974127"/>
        <c:axId val="1760977487"/>
      </c:barChart>
      <c:catAx>
        <c:axId val="1760974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60977487"/>
        <c:crosses val="autoZero"/>
        <c:auto val="1"/>
        <c:lblAlgn val="ctr"/>
        <c:lblOffset val="100"/>
        <c:noMultiLvlLbl val="0"/>
      </c:catAx>
      <c:valAx>
        <c:axId val="1760977487"/>
        <c:scaling>
          <c:orientation val="minMax"/>
        </c:scaling>
        <c:delete val="1"/>
        <c:axPos val="l"/>
        <c:numFmt formatCode="General" sourceLinked="1"/>
        <c:majorTickMark val="out"/>
        <c:minorTickMark val="none"/>
        <c:tickLblPos val="nextTo"/>
        <c:crossAx val="176097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a:gsLst>
                <a:gs pos="0">
                  <a:srgbClr val="00B050"/>
                </a:gs>
                <a:gs pos="100000">
                  <a:schemeClr val="accent1">
                    <a:lumMod val="45000"/>
                    <a:lumOff val="55000"/>
                  </a:schemeClr>
                </a:gs>
                <a:gs pos="100000">
                  <a:schemeClr val="accent1">
                    <a:lumMod val="45000"/>
                    <a:lumOff val="55000"/>
                  </a:schemeClr>
                </a:gs>
                <a:gs pos="75000">
                  <a:schemeClr val="accent6">
                    <a:lumMod val="75000"/>
                  </a:schemeClr>
                </a:gs>
                <a:gs pos="86004">
                  <a:schemeClr val="accent6">
                    <a:lumMod val="50000"/>
                  </a:schemeClr>
                </a:gs>
                <a:gs pos="98000">
                  <a:schemeClr val="accent6">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'Materials status'!$E$4:$E$6</c:f>
              <c:strCache>
                <c:ptCount val="3"/>
                <c:pt idx="0">
                  <c:v>Divorced</c:v>
                </c:pt>
                <c:pt idx="1">
                  <c:v>Married</c:v>
                </c:pt>
                <c:pt idx="2">
                  <c:v>Single</c:v>
                </c:pt>
              </c:strCache>
            </c:strRef>
          </c:cat>
          <c:val>
            <c:numRef>
              <c:f>'Materials status'!$F$4:$F$6</c:f>
              <c:numCache>
                <c:formatCode>General</c:formatCode>
                <c:ptCount val="3"/>
                <c:pt idx="0">
                  <c:v>327</c:v>
                </c:pt>
                <c:pt idx="1">
                  <c:v>673</c:v>
                </c:pt>
                <c:pt idx="2">
                  <c:v>470</c:v>
                </c:pt>
              </c:numCache>
            </c:numRef>
          </c:val>
          <c:extLst>
            <c:ext xmlns:c16="http://schemas.microsoft.com/office/drawing/2014/chart" uri="{C3380CC4-5D6E-409C-BE32-E72D297353CC}">
              <c16:uniqueId val="{00000000-CFE0-476D-9A2D-E7968409465E}"/>
            </c:ext>
          </c:extLst>
        </c:ser>
        <c:dLbls>
          <c:showLegendKey val="0"/>
          <c:showVal val="0"/>
          <c:showCatName val="0"/>
          <c:showSerName val="0"/>
          <c:showPercent val="0"/>
          <c:showBubbleSize val="0"/>
        </c:dLbls>
        <c:gapWidth val="150"/>
        <c:axId val="1803598207"/>
        <c:axId val="1803603007"/>
      </c:barChart>
      <c:catAx>
        <c:axId val="180359820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03603007"/>
        <c:crosses val="autoZero"/>
        <c:auto val="1"/>
        <c:lblAlgn val="ctr"/>
        <c:lblOffset val="100"/>
        <c:noMultiLvlLbl val="0"/>
      </c:catAx>
      <c:valAx>
        <c:axId val="1803603007"/>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03598207"/>
        <c:crosses val="autoZero"/>
        <c:crossBetween val="between"/>
      </c:valAx>
      <c:spPr>
        <a:gradFill>
          <a:gsLst>
            <a:gs pos="0">
              <a:schemeClr val="bg1">
                <a:lumMod val="95000"/>
              </a:schemeClr>
            </a:gs>
            <a:gs pos="100000">
              <a:schemeClr val="accent1">
                <a:lumMod val="45000"/>
                <a:lumOff val="55000"/>
              </a:schemeClr>
            </a:gs>
            <a:gs pos="100000">
              <a:schemeClr val="accent1">
                <a:lumMod val="45000"/>
                <a:lumOff val="55000"/>
              </a:schemeClr>
            </a:gs>
            <a:gs pos="69900">
              <a:schemeClr val="accent3">
                <a:lumMod val="20000"/>
                <a:lumOff val="80000"/>
              </a:schemeClr>
            </a:gs>
            <a:gs pos="100000">
              <a:schemeClr val="accent3">
                <a:lumMod val="60000"/>
                <a:lumOff val="4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95000"/>
          </a:schemeClr>
        </a:gs>
        <a:gs pos="100000">
          <a:schemeClr val="accent1">
            <a:lumMod val="45000"/>
            <a:lumOff val="55000"/>
          </a:schemeClr>
        </a:gs>
        <a:gs pos="100000">
          <a:schemeClr val="accent1">
            <a:lumMod val="45000"/>
            <a:lumOff val="55000"/>
          </a:schemeClr>
        </a:gs>
        <a:gs pos="69900">
          <a:schemeClr val="accent3">
            <a:lumMod val="20000"/>
            <a:lumOff val="80000"/>
          </a:schemeClr>
        </a:gs>
        <a:gs pos="100000">
          <a:schemeClr val="accent3">
            <a:lumMod val="5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A617CF1-7756-4008-A0B9-1EC797A10594}">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AA617CF1-7756-4008-A0B9-1EC797A10594}">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image" Target="../media/image9.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7</xdr:col>
      <xdr:colOff>38100</xdr:colOff>
      <xdr:row>4</xdr:row>
      <xdr:rowOff>106681</xdr:rowOff>
    </xdr:from>
    <xdr:to>
      <xdr:col>9</xdr:col>
      <xdr:colOff>525780</xdr:colOff>
      <xdr:row>9</xdr:row>
      <xdr:rowOff>190500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5B0AF384-C48C-C50F-7669-D704968EF8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069580" y="899161"/>
              <a:ext cx="1828800" cy="1074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308610</xdr:colOff>
      <xdr:row>7</xdr:row>
      <xdr:rowOff>106680</xdr:rowOff>
    </xdr:from>
    <xdr:to>
      <xdr:col>7</xdr:col>
      <xdr:colOff>377190</xdr:colOff>
      <xdr:row>11</xdr:row>
      <xdr:rowOff>160020</xdr:rowOff>
    </xdr:to>
    <xdr:graphicFrame macro="">
      <xdr:nvGraphicFramePr>
        <xdr:cNvPr id="3" name="Chart 2">
          <a:extLst>
            <a:ext uri="{FF2B5EF4-FFF2-40B4-BE49-F238E27FC236}">
              <a16:creationId xmlns:a16="http://schemas.microsoft.com/office/drawing/2014/main" id="{E9B9E39C-0108-F443-E528-D94F72DF4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541020</xdr:colOff>
      <xdr:row>9</xdr:row>
      <xdr:rowOff>114301</xdr:rowOff>
    </xdr:from>
    <xdr:to>
      <xdr:col>4</xdr:col>
      <xdr:colOff>358140</xdr:colOff>
      <xdr:row>18</xdr:row>
      <xdr:rowOff>167641</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1C37D748-5E8F-0F78-B221-F765591C687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339340" y="1897381"/>
              <a:ext cx="1828800" cy="1836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621030</xdr:colOff>
      <xdr:row>16</xdr:row>
      <xdr:rowOff>22860</xdr:rowOff>
    </xdr:from>
    <xdr:to>
      <xdr:col>10</xdr:col>
      <xdr:colOff>266700</xdr:colOff>
      <xdr:row>19</xdr:row>
      <xdr:rowOff>160020</xdr:rowOff>
    </xdr:to>
    <xdr:graphicFrame macro="">
      <xdr:nvGraphicFramePr>
        <xdr:cNvPr id="5" name="Chart 4">
          <a:extLst>
            <a:ext uri="{FF2B5EF4-FFF2-40B4-BE49-F238E27FC236}">
              <a16:creationId xmlns:a16="http://schemas.microsoft.com/office/drawing/2014/main" id="{AD7B7466-C2C3-BDBE-C716-A6DF514CC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76200</xdr:colOff>
      <xdr:row>9</xdr:row>
      <xdr:rowOff>0</xdr:rowOff>
    </xdr:from>
    <xdr:to>
      <xdr:col>15</xdr:col>
      <xdr:colOff>563880</xdr:colOff>
      <xdr:row>22</xdr:row>
      <xdr:rowOff>120015</xdr:rowOff>
    </xdr:to>
    <mc:AlternateContent xmlns:mc="http://schemas.openxmlformats.org/markup-compatibility/2006">
      <mc:Choice xmlns:a14="http://schemas.microsoft.com/office/drawing/2010/main" Requires="a14">
        <xdr:graphicFrame macro="">
          <xdr:nvGraphicFramePr>
            <xdr:cNvPr id="6" name="Education Field">
              <a:extLst>
                <a:ext uri="{FF2B5EF4-FFF2-40B4-BE49-F238E27FC236}">
                  <a16:creationId xmlns:a16="http://schemas.microsoft.com/office/drawing/2014/main" id="{96E16B7B-D279-B71F-7997-BCC7DC1A6FB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9921240" y="17830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441960</xdr:colOff>
      <xdr:row>2</xdr:row>
      <xdr:rowOff>30480</xdr:rowOff>
    </xdr:from>
    <xdr:to>
      <xdr:col>13</xdr:col>
      <xdr:colOff>259080</xdr:colOff>
      <xdr:row>15</xdr:row>
      <xdr:rowOff>150495</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59F1CF5C-62A7-E096-A188-D23512BDE37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8473440" y="4267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579120</xdr:colOff>
      <xdr:row>2</xdr:row>
      <xdr:rowOff>106680</xdr:rowOff>
    </xdr:from>
    <xdr:to>
      <xdr:col>16</xdr:col>
      <xdr:colOff>396240</xdr:colOff>
      <xdr:row>16</xdr:row>
      <xdr:rowOff>28575</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1ADEF6FB-0481-EB7E-01B4-4259DAC2995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0622280" y="5029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9</xdr:row>
      <xdr:rowOff>106680</xdr:rowOff>
    </xdr:from>
    <xdr:to>
      <xdr:col>7</xdr:col>
      <xdr:colOff>129540</xdr:colOff>
      <xdr:row>16</xdr:row>
      <xdr:rowOff>78486</xdr:rowOff>
    </xdr:to>
    <xdr:graphicFrame macro="">
      <xdr:nvGraphicFramePr>
        <xdr:cNvPr id="4" name="Chart 3">
          <a:extLst>
            <a:ext uri="{FF2B5EF4-FFF2-40B4-BE49-F238E27FC236}">
              <a16:creationId xmlns:a16="http://schemas.microsoft.com/office/drawing/2014/main" id="{61ED0ECA-36BD-D0EC-E80B-AF806D060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7</xdr:row>
      <xdr:rowOff>106680</xdr:rowOff>
    </xdr:from>
    <xdr:to>
      <xdr:col>9</xdr:col>
      <xdr:colOff>41910</xdr:colOff>
      <xdr:row>21</xdr:row>
      <xdr:rowOff>76200</xdr:rowOff>
    </xdr:to>
    <xdr:graphicFrame macro="">
      <xdr:nvGraphicFramePr>
        <xdr:cNvPr id="2" name="Chart 1">
          <a:extLst>
            <a:ext uri="{FF2B5EF4-FFF2-40B4-BE49-F238E27FC236}">
              <a16:creationId xmlns:a16="http://schemas.microsoft.com/office/drawing/2014/main" id="{406DF26C-FE26-47D1-0325-9377FF906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171450</xdr:colOff>
      <xdr:row>8</xdr:row>
      <xdr:rowOff>0</xdr:rowOff>
    </xdr:from>
    <xdr:to>
      <xdr:col>12</xdr:col>
      <xdr:colOff>49530</xdr:colOff>
      <xdr:row>21</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18FFEAA-D9D4-0802-E314-0AC64E9079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47510" y="158496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328930</xdr:colOff>
      <xdr:row>11</xdr:row>
      <xdr:rowOff>53340</xdr:rowOff>
    </xdr:from>
    <xdr:to>
      <xdr:col>6</xdr:col>
      <xdr:colOff>541020</xdr:colOff>
      <xdr:row>20</xdr:row>
      <xdr:rowOff>6858</xdr:rowOff>
    </xdr:to>
    <xdr:graphicFrame macro="">
      <xdr:nvGraphicFramePr>
        <xdr:cNvPr id="2" name="Chart 1">
          <a:extLst>
            <a:ext uri="{FF2B5EF4-FFF2-40B4-BE49-F238E27FC236}">
              <a16:creationId xmlns:a16="http://schemas.microsoft.com/office/drawing/2014/main" id="{BC7608CD-F800-4768-6F2F-D6E7D557B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7</xdr:row>
      <xdr:rowOff>106680</xdr:rowOff>
    </xdr:from>
    <xdr:to>
      <xdr:col>6</xdr:col>
      <xdr:colOff>617220</xdr:colOff>
      <xdr:row>19</xdr:row>
      <xdr:rowOff>53340</xdr:rowOff>
    </xdr:to>
    <xdr:graphicFrame macro="">
      <xdr:nvGraphicFramePr>
        <xdr:cNvPr id="3" name="Chart 2">
          <a:extLst>
            <a:ext uri="{FF2B5EF4-FFF2-40B4-BE49-F238E27FC236}">
              <a16:creationId xmlns:a16="http://schemas.microsoft.com/office/drawing/2014/main" id="{08BAED1B-7C40-38E5-45A0-79A4EC2C3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575310</xdr:colOff>
      <xdr:row>11</xdr:row>
      <xdr:rowOff>182880</xdr:rowOff>
    </xdr:from>
    <xdr:to>
      <xdr:col>8</xdr:col>
      <xdr:colOff>198120</xdr:colOff>
      <xdr:row>22</xdr:row>
      <xdr:rowOff>182880</xdr:rowOff>
    </xdr:to>
    <xdr:graphicFrame macro="">
      <xdr:nvGraphicFramePr>
        <xdr:cNvPr id="2" name="Chart 1">
          <a:extLst>
            <a:ext uri="{FF2B5EF4-FFF2-40B4-BE49-F238E27FC236}">
              <a16:creationId xmlns:a16="http://schemas.microsoft.com/office/drawing/2014/main" id="{0F854559-5ACA-BE28-25F8-1A7EEEF36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495300</xdr:colOff>
      <xdr:row>5</xdr:row>
      <xdr:rowOff>190500</xdr:rowOff>
    </xdr:from>
    <xdr:to>
      <xdr:col>14</xdr:col>
      <xdr:colOff>312420</xdr:colOff>
      <xdr:row>19</xdr:row>
      <xdr:rowOff>112395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6A89BA3D-6EDD-A50B-F859-74FDB483963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197340" y="11811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480060</xdr:colOff>
      <xdr:row>4</xdr:row>
      <xdr:rowOff>22860</xdr:rowOff>
    </xdr:from>
    <xdr:to>
      <xdr:col>11</xdr:col>
      <xdr:colOff>297180</xdr:colOff>
      <xdr:row>17</xdr:row>
      <xdr:rowOff>142875</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46E79C81-6230-3451-73A4-4B273AD23B34}"/>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170420" y="8153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704850</xdr:colOff>
      <xdr:row>9</xdr:row>
      <xdr:rowOff>167640</xdr:rowOff>
    </xdr:from>
    <xdr:to>
      <xdr:col>10</xdr:col>
      <xdr:colOff>125730</xdr:colOff>
      <xdr:row>21</xdr:row>
      <xdr:rowOff>76200</xdr:rowOff>
    </xdr:to>
    <xdr:graphicFrame macro="">
      <xdr:nvGraphicFramePr>
        <xdr:cNvPr id="2" name="Chart 1">
          <a:extLst>
            <a:ext uri="{FF2B5EF4-FFF2-40B4-BE49-F238E27FC236}">
              <a16:creationId xmlns:a16="http://schemas.microsoft.com/office/drawing/2014/main" id="{7D943382-F291-0AD3-5A26-4824BAE3C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52192</xdr:colOff>
      <xdr:row>0</xdr:row>
      <xdr:rowOff>126564</xdr:rowOff>
    </xdr:from>
    <xdr:ext cx="1507298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2011621" y="126564"/>
          <a:ext cx="1507298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7" y="1215714"/>
              <a:ext cx="13289108" cy="998848"/>
              <a:chOff x="1846117" y="1215714"/>
              <a:chExt cx="13403408"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208766</xdr:colOff>
      <xdr:row>6</xdr:row>
      <xdr:rowOff>10440</xdr:rowOff>
    </xdr:from>
    <xdr:to>
      <xdr:col>6</xdr:col>
      <xdr:colOff>532355</xdr:colOff>
      <xdr:row>8</xdr:row>
      <xdr:rowOff>20877</xdr:rowOff>
    </xdr:to>
    <xdr:sp macro="" textlink="">
      <xdr:nvSpPr>
        <xdr:cNvPr id="3" name="TextBox 2">
          <a:extLst>
            <a:ext uri="{FF2B5EF4-FFF2-40B4-BE49-F238E27FC236}">
              <a16:creationId xmlns:a16="http://schemas.microsoft.com/office/drawing/2014/main" id="{50D117E5-1D70-9601-5145-1170115807AF}"/>
            </a:ext>
          </a:extLst>
        </xdr:cNvPr>
        <xdr:cNvSpPr txBox="1"/>
      </xdr:nvSpPr>
      <xdr:spPr>
        <a:xfrm>
          <a:off x="2181615" y="1137782"/>
          <a:ext cx="2296439" cy="38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latin typeface="Arial" panose="020B0604020202020204" pitchFamily="34" charset="0"/>
              <a:cs typeface="Arial" panose="020B0604020202020204" pitchFamily="34" charset="0"/>
            </a:rPr>
            <a:t>Total Employees</a:t>
          </a:r>
        </a:p>
      </xdr:txBody>
    </xdr:sp>
    <xdr:clientData/>
  </xdr:twoCellAnchor>
  <xdr:twoCellAnchor>
    <xdr:from>
      <xdr:col>4</xdr:col>
      <xdr:colOff>41755</xdr:colOff>
      <xdr:row>7</xdr:row>
      <xdr:rowOff>156576</xdr:rowOff>
    </xdr:from>
    <xdr:to>
      <xdr:col>6</xdr:col>
      <xdr:colOff>605426</xdr:colOff>
      <xdr:row>10</xdr:row>
      <xdr:rowOff>52193</xdr:rowOff>
    </xdr:to>
    <xdr:sp macro="" textlink="KPI!A8">
      <xdr:nvSpPr>
        <xdr:cNvPr id="9" name="TextBox 8">
          <a:extLst>
            <a:ext uri="{FF2B5EF4-FFF2-40B4-BE49-F238E27FC236}">
              <a16:creationId xmlns:a16="http://schemas.microsoft.com/office/drawing/2014/main" id="{303C74F8-4B25-F28D-F65C-C50492AD84BA}"/>
            </a:ext>
          </a:extLst>
        </xdr:cNvPr>
        <xdr:cNvSpPr txBox="1"/>
      </xdr:nvSpPr>
      <xdr:spPr>
        <a:xfrm>
          <a:off x="2672221" y="1471809"/>
          <a:ext cx="1878904"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C17DED-FAF7-4124-BBAD-913E2A986E6B}" type="TxLink">
            <a:rPr lang="en-US" sz="2800" b="1" i="0" u="none" strike="noStrike">
              <a:solidFill>
                <a:srgbClr val="002060"/>
              </a:solidFill>
              <a:latin typeface="Arial" panose="020B0604020202020204" pitchFamily="34" charset="0"/>
              <a:ea typeface="Calibri"/>
              <a:cs typeface="Arial" panose="020B0604020202020204" pitchFamily="34" charset="0"/>
            </a:rPr>
            <a:pPr algn="ctr"/>
            <a:t>1470</a:t>
          </a:fld>
          <a:endParaRPr lang="en-US" sz="2800" b="1">
            <a:solidFill>
              <a:srgbClr val="002060"/>
            </a:solidFill>
            <a:latin typeface="Arial" panose="020B0604020202020204" pitchFamily="34" charset="0"/>
            <a:cs typeface="Arial" panose="020B0604020202020204" pitchFamily="34" charset="0"/>
          </a:endParaRPr>
        </a:p>
      </xdr:txBody>
    </xdr:sp>
    <xdr:clientData/>
  </xdr:twoCellAnchor>
  <xdr:twoCellAnchor>
    <xdr:from>
      <xdr:col>21</xdr:col>
      <xdr:colOff>382043</xdr:colOff>
      <xdr:row>5</xdr:row>
      <xdr:rowOff>162840</xdr:rowOff>
    </xdr:from>
    <xdr:to>
      <xdr:col>25</xdr:col>
      <xdr:colOff>48016</xdr:colOff>
      <xdr:row>7</xdr:row>
      <xdr:rowOff>173277</xdr:rowOff>
    </xdr:to>
    <xdr:sp macro="" textlink="">
      <xdr:nvSpPr>
        <xdr:cNvPr id="64" name="TextBox 63">
          <a:extLst>
            <a:ext uri="{FF2B5EF4-FFF2-40B4-BE49-F238E27FC236}">
              <a16:creationId xmlns:a16="http://schemas.microsoft.com/office/drawing/2014/main" id="{A72B2D17-B446-4C62-A05B-2DACA08DA986}"/>
            </a:ext>
          </a:extLst>
        </xdr:cNvPr>
        <xdr:cNvSpPr txBox="1"/>
      </xdr:nvSpPr>
      <xdr:spPr>
        <a:xfrm>
          <a:off x="14191988" y="1102292"/>
          <a:ext cx="2296439" cy="38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latin typeface="Arial" panose="020B0604020202020204" pitchFamily="34" charset="0"/>
              <a:cs typeface="Arial" panose="020B0604020202020204" pitchFamily="34" charset="0"/>
            </a:rPr>
            <a:t>Average</a:t>
          </a:r>
          <a:r>
            <a:rPr lang="en-US" sz="1800" b="1" baseline="0">
              <a:solidFill>
                <a:srgbClr val="602928"/>
              </a:solidFill>
              <a:latin typeface="Arial" panose="020B0604020202020204" pitchFamily="34" charset="0"/>
              <a:cs typeface="Arial" panose="020B0604020202020204" pitchFamily="34" charset="0"/>
            </a:rPr>
            <a:t> Age</a:t>
          </a:r>
          <a:endParaRPr lang="en-US" sz="1800" b="1">
            <a:solidFill>
              <a:srgbClr val="602928"/>
            </a:solidFill>
            <a:latin typeface="Arial" panose="020B0604020202020204" pitchFamily="34" charset="0"/>
            <a:cs typeface="Arial" panose="020B0604020202020204" pitchFamily="34" charset="0"/>
          </a:endParaRPr>
        </a:p>
      </xdr:txBody>
    </xdr:sp>
    <xdr:clientData/>
  </xdr:twoCellAnchor>
  <xdr:twoCellAnchor>
    <xdr:from>
      <xdr:col>21</xdr:col>
      <xdr:colOff>601250</xdr:colOff>
      <xdr:row>7</xdr:row>
      <xdr:rowOff>121086</xdr:rowOff>
    </xdr:from>
    <xdr:to>
      <xdr:col>24</xdr:col>
      <xdr:colOff>507304</xdr:colOff>
      <xdr:row>10</xdr:row>
      <xdr:rowOff>16703</xdr:rowOff>
    </xdr:to>
    <xdr:sp macro="" textlink="KPI!C8">
      <xdr:nvSpPr>
        <xdr:cNvPr id="65" name="TextBox 64">
          <a:extLst>
            <a:ext uri="{FF2B5EF4-FFF2-40B4-BE49-F238E27FC236}">
              <a16:creationId xmlns:a16="http://schemas.microsoft.com/office/drawing/2014/main" id="{80425617-E7BB-49A9-B490-3F02A1D88509}"/>
            </a:ext>
          </a:extLst>
        </xdr:cNvPr>
        <xdr:cNvSpPr txBox="1"/>
      </xdr:nvSpPr>
      <xdr:spPr>
        <a:xfrm>
          <a:off x="14411195" y="1436319"/>
          <a:ext cx="1878904"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81863C-213F-42A3-B32A-6DF209FE6BC1}" type="TxLink">
            <a:rPr lang="en-US" sz="2800" b="1" i="0" u="none" strike="noStrike">
              <a:solidFill>
                <a:srgbClr val="002060"/>
              </a:solidFill>
              <a:latin typeface="Arial" panose="020B0604020202020204" pitchFamily="34" charset="0"/>
              <a:ea typeface="Calibri"/>
              <a:cs typeface="Arial" panose="020B0604020202020204" pitchFamily="34" charset="0"/>
            </a:rPr>
            <a:t>37</a:t>
          </a:fld>
          <a:endParaRPr lang="en-US" sz="2800" b="1">
            <a:solidFill>
              <a:srgbClr val="002060"/>
            </a:solidFill>
            <a:latin typeface="Arial" panose="020B0604020202020204" pitchFamily="34" charset="0"/>
            <a:cs typeface="Arial" panose="020B0604020202020204" pitchFamily="34" charset="0"/>
          </a:endParaRPr>
        </a:p>
      </xdr:txBody>
    </xdr:sp>
    <xdr:clientData/>
  </xdr:twoCellAnchor>
  <xdr:twoCellAnchor>
    <xdr:from>
      <xdr:col>16</xdr:col>
      <xdr:colOff>617950</xdr:colOff>
      <xdr:row>6</xdr:row>
      <xdr:rowOff>12528</xdr:rowOff>
    </xdr:from>
    <xdr:to>
      <xdr:col>20</xdr:col>
      <xdr:colOff>283923</xdr:colOff>
      <xdr:row>8</xdr:row>
      <xdr:rowOff>22965</xdr:rowOff>
    </xdr:to>
    <xdr:sp macro="" textlink="">
      <xdr:nvSpPr>
        <xdr:cNvPr id="66" name="TextBox 65">
          <a:extLst>
            <a:ext uri="{FF2B5EF4-FFF2-40B4-BE49-F238E27FC236}">
              <a16:creationId xmlns:a16="http://schemas.microsoft.com/office/drawing/2014/main" id="{F088F5E0-DD81-4248-A645-06029F79CAC0}"/>
            </a:ext>
          </a:extLst>
        </xdr:cNvPr>
        <xdr:cNvSpPr txBox="1"/>
      </xdr:nvSpPr>
      <xdr:spPr>
        <a:xfrm>
          <a:off x="11139813" y="1139870"/>
          <a:ext cx="2296439" cy="38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latin typeface="Arial" panose="020B0604020202020204" pitchFamily="34" charset="0"/>
              <a:cs typeface="Arial" panose="020B0604020202020204" pitchFamily="34" charset="0"/>
            </a:rPr>
            <a:t>Attrition</a:t>
          </a:r>
          <a:r>
            <a:rPr lang="en-US" sz="1800" b="1" baseline="0">
              <a:solidFill>
                <a:srgbClr val="602928"/>
              </a:solidFill>
              <a:latin typeface="Arial" panose="020B0604020202020204" pitchFamily="34" charset="0"/>
              <a:cs typeface="Arial" panose="020B0604020202020204" pitchFamily="34" charset="0"/>
            </a:rPr>
            <a:t> Rate</a:t>
          </a:r>
          <a:endParaRPr lang="en-US" sz="18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17</xdr:col>
      <xdr:colOff>356993</xdr:colOff>
      <xdr:row>7</xdr:row>
      <xdr:rowOff>148224</xdr:rowOff>
    </xdr:from>
    <xdr:to>
      <xdr:col>20</xdr:col>
      <xdr:colOff>263047</xdr:colOff>
      <xdr:row>10</xdr:row>
      <xdr:rowOff>43841</xdr:rowOff>
    </xdr:to>
    <xdr:sp macro="" textlink="KPI!E8">
      <xdr:nvSpPr>
        <xdr:cNvPr id="67" name="TextBox 66">
          <a:extLst>
            <a:ext uri="{FF2B5EF4-FFF2-40B4-BE49-F238E27FC236}">
              <a16:creationId xmlns:a16="http://schemas.microsoft.com/office/drawing/2014/main" id="{FB92121C-BD44-4D06-B8E3-5EFEBB63A0F5}"/>
            </a:ext>
          </a:extLst>
        </xdr:cNvPr>
        <xdr:cNvSpPr txBox="1"/>
      </xdr:nvSpPr>
      <xdr:spPr>
        <a:xfrm>
          <a:off x="11536472" y="1463457"/>
          <a:ext cx="1878904"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1E2C51-D624-4B77-B3FD-A43FD1DF67F9}" type="TxLink">
            <a:rPr lang="en-US" sz="2800" b="1" i="0" u="none" strike="noStrike">
              <a:solidFill>
                <a:srgbClr val="002060"/>
              </a:solidFill>
              <a:latin typeface="Calibri"/>
              <a:ea typeface="Calibri"/>
              <a:cs typeface="Calibri"/>
            </a:rPr>
            <a:t>16.12%</a:t>
          </a:fld>
          <a:endParaRPr lang="en-US" sz="2800" b="1">
            <a:solidFill>
              <a:srgbClr val="002060"/>
            </a:solidFill>
            <a:latin typeface="Arial" panose="020B0604020202020204" pitchFamily="34" charset="0"/>
            <a:cs typeface="Arial" panose="020B0604020202020204" pitchFamily="34" charset="0"/>
          </a:endParaRPr>
        </a:p>
      </xdr:txBody>
    </xdr:sp>
    <xdr:clientData/>
  </xdr:twoCellAnchor>
  <xdr:twoCellAnchor>
    <xdr:from>
      <xdr:col>12</xdr:col>
      <xdr:colOff>269308</xdr:colOff>
      <xdr:row>6</xdr:row>
      <xdr:rowOff>8352</xdr:rowOff>
    </xdr:from>
    <xdr:to>
      <xdr:col>15</xdr:col>
      <xdr:colOff>592897</xdr:colOff>
      <xdr:row>8</xdr:row>
      <xdr:rowOff>18789</xdr:rowOff>
    </xdr:to>
    <xdr:sp macro="" textlink="">
      <xdr:nvSpPr>
        <xdr:cNvPr id="68" name="TextBox 67">
          <a:extLst>
            <a:ext uri="{FF2B5EF4-FFF2-40B4-BE49-F238E27FC236}">
              <a16:creationId xmlns:a16="http://schemas.microsoft.com/office/drawing/2014/main" id="{956FBCCB-7240-40E3-A9CE-278522F8FE5D}"/>
            </a:ext>
          </a:extLst>
        </xdr:cNvPr>
        <xdr:cNvSpPr txBox="1"/>
      </xdr:nvSpPr>
      <xdr:spPr>
        <a:xfrm>
          <a:off x="8160705" y="1135694"/>
          <a:ext cx="2296439" cy="38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latin typeface="Arial" panose="020B0604020202020204" pitchFamily="34" charset="0"/>
              <a:cs typeface="Arial" panose="020B0604020202020204" pitchFamily="34" charset="0"/>
            </a:rPr>
            <a:t>Total</a:t>
          </a:r>
          <a:r>
            <a:rPr lang="en-US" sz="1800" b="1" baseline="0">
              <a:solidFill>
                <a:srgbClr val="602928"/>
              </a:solidFill>
              <a:latin typeface="Arial" panose="020B0604020202020204" pitchFamily="34" charset="0"/>
              <a:cs typeface="Arial" panose="020B0604020202020204" pitchFamily="34" charset="0"/>
            </a:rPr>
            <a:t> Active</a:t>
          </a:r>
          <a:endParaRPr lang="en-US" sz="18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13</xdr:col>
      <xdr:colOff>18790</xdr:colOff>
      <xdr:row>7</xdr:row>
      <xdr:rowOff>112735</xdr:rowOff>
    </xdr:from>
    <xdr:to>
      <xdr:col>15</xdr:col>
      <xdr:colOff>582461</xdr:colOff>
      <xdr:row>10</xdr:row>
      <xdr:rowOff>8352</xdr:rowOff>
    </xdr:to>
    <xdr:sp macro="" textlink="KPI!D8">
      <xdr:nvSpPr>
        <xdr:cNvPr id="69" name="TextBox 68">
          <a:extLst>
            <a:ext uri="{FF2B5EF4-FFF2-40B4-BE49-F238E27FC236}">
              <a16:creationId xmlns:a16="http://schemas.microsoft.com/office/drawing/2014/main" id="{0A07AD1E-8BE7-4ECD-A6FE-8DF5652632E2}"/>
            </a:ext>
          </a:extLst>
        </xdr:cNvPr>
        <xdr:cNvSpPr txBox="1"/>
      </xdr:nvSpPr>
      <xdr:spPr>
        <a:xfrm>
          <a:off x="8567804" y="1427968"/>
          <a:ext cx="1878904"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DE8AB7-50F7-4934-AD7B-2C4871D57D3A}" type="TxLink">
            <a:rPr lang="en-US" sz="2800" b="1" i="0" u="none" strike="noStrike">
              <a:solidFill>
                <a:srgbClr val="002060"/>
              </a:solidFill>
              <a:latin typeface="Arial" panose="020B0604020202020204" pitchFamily="34" charset="0"/>
              <a:ea typeface="Calibri"/>
              <a:cs typeface="Arial" panose="020B0604020202020204" pitchFamily="34" charset="0"/>
            </a:rPr>
            <a:t>1233</a:t>
          </a:fld>
          <a:endParaRPr lang="en-US" sz="2800" b="1">
            <a:solidFill>
              <a:srgbClr val="002060"/>
            </a:solidFill>
            <a:latin typeface="Arial" panose="020B0604020202020204" pitchFamily="34" charset="0"/>
            <a:cs typeface="Arial" panose="020B0604020202020204" pitchFamily="34" charset="0"/>
          </a:endParaRPr>
        </a:p>
      </xdr:txBody>
    </xdr:sp>
    <xdr:clientData/>
  </xdr:twoCellAnchor>
  <xdr:twoCellAnchor>
    <xdr:from>
      <xdr:col>7</xdr:col>
      <xdr:colOff>567845</xdr:colOff>
      <xdr:row>6</xdr:row>
      <xdr:rowOff>14616</xdr:rowOff>
    </xdr:from>
    <xdr:to>
      <xdr:col>11</xdr:col>
      <xdr:colOff>233818</xdr:colOff>
      <xdr:row>8</xdr:row>
      <xdr:rowOff>25053</xdr:rowOff>
    </xdr:to>
    <xdr:sp macro="" textlink="">
      <xdr:nvSpPr>
        <xdr:cNvPr id="70" name="TextBox 69">
          <a:extLst>
            <a:ext uri="{FF2B5EF4-FFF2-40B4-BE49-F238E27FC236}">
              <a16:creationId xmlns:a16="http://schemas.microsoft.com/office/drawing/2014/main" id="{93A24013-1766-4CCB-8825-823E8BC6C588}"/>
            </a:ext>
          </a:extLst>
        </xdr:cNvPr>
        <xdr:cNvSpPr txBox="1"/>
      </xdr:nvSpPr>
      <xdr:spPr>
        <a:xfrm>
          <a:off x="5171160" y="1141958"/>
          <a:ext cx="2296439" cy="38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latin typeface="Arial" panose="020B0604020202020204" pitchFamily="34" charset="0"/>
              <a:cs typeface="Arial" panose="020B0604020202020204" pitchFamily="34" charset="0"/>
            </a:rPr>
            <a:t>Attrition</a:t>
          </a:r>
        </a:p>
      </xdr:txBody>
    </xdr:sp>
    <xdr:clientData/>
  </xdr:twoCellAnchor>
  <xdr:twoCellAnchor>
    <xdr:from>
      <xdr:col>8</xdr:col>
      <xdr:colOff>212943</xdr:colOff>
      <xdr:row>7</xdr:row>
      <xdr:rowOff>150313</xdr:rowOff>
    </xdr:from>
    <xdr:to>
      <xdr:col>11</xdr:col>
      <xdr:colOff>118998</xdr:colOff>
      <xdr:row>10</xdr:row>
      <xdr:rowOff>45930</xdr:rowOff>
    </xdr:to>
    <xdr:sp macro="" textlink="KPI!B8">
      <xdr:nvSpPr>
        <xdr:cNvPr id="71" name="TextBox 70">
          <a:extLst>
            <a:ext uri="{FF2B5EF4-FFF2-40B4-BE49-F238E27FC236}">
              <a16:creationId xmlns:a16="http://schemas.microsoft.com/office/drawing/2014/main" id="{2598E26C-13A3-47DE-B130-DEBAE1F197F6}"/>
            </a:ext>
          </a:extLst>
        </xdr:cNvPr>
        <xdr:cNvSpPr txBox="1"/>
      </xdr:nvSpPr>
      <xdr:spPr>
        <a:xfrm>
          <a:off x="5473875" y="1465546"/>
          <a:ext cx="1878904" cy="45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0A1847-44EC-4AD2-91C1-4E253DE9501B}" type="TxLink">
            <a:rPr lang="en-US" sz="2800" b="1" i="0" u="none" strike="noStrike">
              <a:solidFill>
                <a:srgbClr val="002060"/>
              </a:solidFill>
              <a:latin typeface="Arial" panose="020B0604020202020204" pitchFamily="34" charset="0"/>
              <a:ea typeface="Calibri"/>
              <a:cs typeface="Arial" panose="020B0604020202020204" pitchFamily="34" charset="0"/>
            </a:rPr>
            <a:t>237</a:t>
          </a:fld>
          <a:endParaRPr lang="en-US" sz="2800" b="1">
            <a:solidFill>
              <a:srgbClr val="002060"/>
            </a:solidFill>
            <a:latin typeface="Arial" panose="020B0604020202020204" pitchFamily="34" charset="0"/>
            <a:cs typeface="Arial" panose="020B0604020202020204" pitchFamily="34" charset="0"/>
          </a:endParaRPr>
        </a:p>
      </xdr:txBody>
    </xdr:sp>
    <xdr:clientData/>
  </xdr:twoCellAnchor>
  <xdr:oneCellAnchor>
    <xdr:from>
      <xdr:col>6</xdr:col>
      <xdr:colOff>605425</xdr:colOff>
      <xdr:row>6</xdr:row>
      <xdr:rowOff>73069</xdr:rowOff>
    </xdr:from>
    <xdr:ext cx="333375" cy="314325"/>
    <xdr:pic>
      <xdr:nvPicPr>
        <xdr:cNvPr id="72" name="image4.png">
          <a:extLst>
            <a:ext uri="{FF2B5EF4-FFF2-40B4-BE49-F238E27FC236}">
              <a16:creationId xmlns:a16="http://schemas.microsoft.com/office/drawing/2014/main" id="{7E512243-85D8-4AE0-B608-F188DB382A62}"/>
            </a:ext>
          </a:extLst>
        </xdr:cNvPr>
        <xdr:cNvPicPr preferRelativeResize="0"/>
      </xdr:nvPicPr>
      <xdr:blipFill>
        <a:blip xmlns:r="http://schemas.openxmlformats.org/officeDocument/2006/relationships" r:embed="rId1" cstate="print"/>
        <a:stretch>
          <a:fillRect/>
        </a:stretch>
      </xdr:blipFill>
      <xdr:spPr>
        <a:xfrm>
          <a:off x="4551124" y="1200411"/>
          <a:ext cx="333375" cy="314325"/>
        </a:xfrm>
        <a:prstGeom prst="rect">
          <a:avLst/>
        </a:prstGeom>
        <a:noFill/>
      </xdr:spPr>
    </xdr:pic>
    <xdr:clientData fLocksWithSheet="0"/>
  </xdr:oneCellAnchor>
  <xdr:oneCellAnchor>
    <xdr:from>
      <xdr:col>15</xdr:col>
      <xdr:colOff>647177</xdr:colOff>
      <xdr:row>6</xdr:row>
      <xdr:rowOff>52192</xdr:rowOff>
    </xdr:from>
    <xdr:ext cx="419100" cy="304800"/>
    <xdr:pic>
      <xdr:nvPicPr>
        <xdr:cNvPr id="73" name="image5.png">
          <a:extLst>
            <a:ext uri="{FF2B5EF4-FFF2-40B4-BE49-F238E27FC236}">
              <a16:creationId xmlns:a16="http://schemas.microsoft.com/office/drawing/2014/main" id="{6F511937-4B73-43E7-B8EE-01B33D3D7820}"/>
            </a:ext>
          </a:extLst>
        </xdr:cNvPr>
        <xdr:cNvPicPr preferRelativeResize="0"/>
      </xdr:nvPicPr>
      <xdr:blipFill>
        <a:blip xmlns:r="http://schemas.openxmlformats.org/officeDocument/2006/relationships" r:embed="rId2" cstate="print"/>
        <a:stretch>
          <a:fillRect/>
        </a:stretch>
      </xdr:blipFill>
      <xdr:spPr>
        <a:xfrm>
          <a:off x="10511424" y="1179534"/>
          <a:ext cx="419100" cy="304800"/>
        </a:xfrm>
        <a:prstGeom prst="rect">
          <a:avLst/>
        </a:prstGeom>
        <a:noFill/>
      </xdr:spPr>
    </xdr:pic>
    <xdr:clientData fLocksWithSheet="0"/>
  </xdr:oneCellAnchor>
  <xdr:oneCellAnchor>
    <xdr:from>
      <xdr:col>20</xdr:col>
      <xdr:colOff>365342</xdr:colOff>
      <xdr:row>6</xdr:row>
      <xdr:rowOff>52193</xdr:rowOff>
    </xdr:from>
    <xdr:ext cx="390525" cy="314325"/>
    <xdr:pic>
      <xdr:nvPicPr>
        <xdr:cNvPr id="74" name="image2.png">
          <a:extLst>
            <a:ext uri="{FF2B5EF4-FFF2-40B4-BE49-F238E27FC236}">
              <a16:creationId xmlns:a16="http://schemas.microsoft.com/office/drawing/2014/main" id="{91AE7E54-1A9A-46EA-A593-FB9C682FE2F2}"/>
            </a:ext>
          </a:extLst>
        </xdr:cNvPr>
        <xdr:cNvPicPr preferRelativeResize="0"/>
      </xdr:nvPicPr>
      <xdr:blipFill>
        <a:blip xmlns:r="http://schemas.openxmlformats.org/officeDocument/2006/relationships" r:embed="rId3" cstate="print"/>
        <a:stretch>
          <a:fillRect/>
        </a:stretch>
      </xdr:blipFill>
      <xdr:spPr>
        <a:xfrm>
          <a:off x="13517671" y="1179535"/>
          <a:ext cx="390525" cy="314325"/>
        </a:xfrm>
        <a:prstGeom prst="rect">
          <a:avLst/>
        </a:prstGeom>
        <a:noFill/>
      </xdr:spPr>
    </xdr:pic>
    <xdr:clientData fLocksWithSheet="0"/>
  </xdr:oneCellAnchor>
  <xdr:oneCellAnchor>
    <xdr:from>
      <xdr:col>25</xdr:col>
      <xdr:colOff>187890</xdr:colOff>
      <xdr:row>6</xdr:row>
      <xdr:rowOff>62630</xdr:rowOff>
    </xdr:from>
    <xdr:ext cx="295275" cy="266700"/>
    <xdr:pic>
      <xdr:nvPicPr>
        <xdr:cNvPr id="75" name="image6.png">
          <a:extLst>
            <a:ext uri="{FF2B5EF4-FFF2-40B4-BE49-F238E27FC236}">
              <a16:creationId xmlns:a16="http://schemas.microsoft.com/office/drawing/2014/main" id="{0566ECFD-1078-4AF3-8CD5-1ECC10B8AE0F}"/>
            </a:ext>
          </a:extLst>
        </xdr:cNvPr>
        <xdr:cNvPicPr preferRelativeResize="0"/>
      </xdr:nvPicPr>
      <xdr:blipFill>
        <a:blip xmlns:r="http://schemas.openxmlformats.org/officeDocument/2006/relationships" r:embed="rId4" cstate="print"/>
        <a:stretch>
          <a:fillRect/>
        </a:stretch>
      </xdr:blipFill>
      <xdr:spPr>
        <a:xfrm>
          <a:off x="16628301" y="1189972"/>
          <a:ext cx="295275" cy="266700"/>
        </a:xfrm>
        <a:prstGeom prst="rect">
          <a:avLst/>
        </a:prstGeom>
        <a:noFill/>
      </xdr:spPr>
    </xdr:pic>
    <xdr:clientData fLocksWithSheet="0"/>
  </xdr:oneCellAnchor>
  <xdr:oneCellAnchor>
    <xdr:from>
      <xdr:col>11</xdr:col>
      <xdr:colOff>219205</xdr:colOff>
      <xdr:row>6</xdr:row>
      <xdr:rowOff>20877</xdr:rowOff>
    </xdr:from>
    <xdr:ext cx="485775" cy="400050"/>
    <xdr:pic>
      <xdr:nvPicPr>
        <xdr:cNvPr id="76" name="image7.png">
          <a:extLst>
            <a:ext uri="{FF2B5EF4-FFF2-40B4-BE49-F238E27FC236}">
              <a16:creationId xmlns:a16="http://schemas.microsoft.com/office/drawing/2014/main" id="{FA716F00-E6FA-4738-82EE-80024122CAB8}"/>
            </a:ext>
          </a:extLst>
        </xdr:cNvPr>
        <xdr:cNvPicPr preferRelativeResize="0"/>
      </xdr:nvPicPr>
      <xdr:blipFill>
        <a:blip xmlns:r="http://schemas.openxmlformats.org/officeDocument/2006/relationships" r:embed="rId5" cstate="print"/>
        <a:stretch>
          <a:fillRect/>
        </a:stretch>
      </xdr:blipFill>
      <xdr:spPr>
        <a:xfrm>
          <a:off x="7452986" y="1148219"/>
          <a:ext cx="485775" cy="400050"/>
        </a:xfrm>
        <a:prstGeom prst="rect">
          <a:avLst/>
        </a:prstGeom>
        <a:noFill/>
      </xdr:spPr>
    </xdr:pic>
    <xdr:clientData fLocksWithSheet="0"/>
  </xdr:oneCellAnchor>
  <xdr:twoCellAnchor>
    <xdr:from>
      <xdr:col>3</xdr:col>
      <xdr:colOff>452782</xdr:colOff>
      <xdr:row>1</xdr:row>
      <xdr:rowOff>93947</xdr:rowOff>
    </xdr:from>
    <xdr:to>
      <xdr:col>16</xdr:col>
      <xdr:colOff>219207</xdr:colOff>
      <xdr:row>4</xdr:row>
      <xdr:rowOff>135699</xdr:rowOff>
    </xdr:to>
    <xdr:sp macro="" textlink="">
      <xdr:nvSpPr>
        <xdr:cNvPr id="77" name="TextBox 76">
          <a:extLst>
            <a:ext uri="{FF2B5EF4-FFF2-40B4-BE49-F238E27FC236}">
              <a16:creationId xmlns:a16="http://schemas.microsoft.com/office/drawing/2014/main" id="{599FD6A5-2581-D39E-D860-60DE5B4C9857}"/>
            </a:ext>
          </a:extLst>
        </xdr:cNvPr>
        <xdr:cNvSpPr txBox="1"/>
      </xdr:nvSpPr>
      <xdr:spPr>
        <a:xfrm>
          <a:off x="2407478" y="281686"/>
          <a:ext cx="8236772" cy="60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300" b="1">
              <a:solidFill>
                <a:srgbClr val="002060"/>
              </a:solidFill>
              <a:latin typeface="Arial" panose="020B0604020202020204" pitchFamily="34" charset="0"/>
              <a:cs typeface="Arial" panose="020B0604020202020204" pitchFamily="34" charset="0"/>
            </a:rPr>
            <a:t>HR ANALYTICS DASHBOARD</a:t>
          </a:r>
        </a:p>
      </xdr:txBody>
    </xdr:sp>
    <xdr:clientData/>
  </xdr:twoCellAnchor>
  <xdr:oneCellAnchor>
    <xdr:from>
      <xdr:col>16</xdr:col>
      <xdr:colOff>584548</xdr:colOff>
      <xdr:row>1</xdr:row>
      <xdr:rowOff>83508</xdr:rowOff>
    </xdr:from>
    <xdr:ext cx="723900" cy="628650"/>
    <xdr:pic>
      <xdr:nvPicPr>
        <xdr:cNvPr id="80" name="image3.png">
          <a:extLst>
            <a:ext uri="{FF2B5EF4-FFF2-40B4-BE49-F238E27FC236}">
              <a16:creationId xmlns:a16="http://schemas.microsoft.com/office/drawing/2014/main" id="{57AAAAE7-BCB2-4E24-B841-B2AEDBE0F885}"/>
            </a:ext>
          </a:extLst>
        </xdr:cNvPr>
        <xdr:cNvPicPr preferRelativeResize="0"/>
      </xdr:nvPicPr>
      <xdr:blipFill>
        <a:blip xmlns:r="http://schemas.openxmlformats.org/officeDocument/2006/relationships" r:embed="rId6" cstate="print"/>
        <a:stretch>
          <a:fillRect/>
        </a:stretch>
      </xdr:blipFill>
      <xdr:spPr>
        <a:xfrm>
          <a:off x="11106411" y="271398"/>
          <a:ext cx="723900" cy="628650"/>
        </a:xfrm>
        <a:prstGeom prst="rect">
          <a:avLst/>
        </a:prstGeom>
        <a:noFill/>
      </xdr:spPr>
    </xdr:pic>
    <xdr:clientData fLocksWithSheet="0"/>
  </xdr:oneCellAnchor>
  <xdr:twoCellAnchor>
    <xdr:from>
      <xdr:col>18</xdr:col>
      <xdr:colOff>240082</xdr:colOff>
      <xdr:row>1</xdr:row>
      <xdr:rowOff>62632</xdr:rowOff>
    </xdr:from>
    <xdr:to>
      <xdr:col>21</xdr:col>
      <xdr:colOff>52191</xdr:colOff>
      <xdr:row>5</xdr:row>
      <xdr:rowOff>104384</xdr:rowOff>
    </xdr:to>
    <xdr:sp macro="" textlink="">
      <xdr:nvSpPr>
        <xdr:cNvPr id="81" name="TextBox 80">
          <a:extLst>
            <a:ext uri="{FF2B5EF4-FFF2-40B4-BE49-F238E27FC236}">
              <a16:creationId xmlns:a16="http://schemas.microsoft.com/office/drawing/2014/main" id="{7B2F6F1D-B63A-BA60-1CE2-0A4CA549DAC2}"/>
            </a:ext>
          </a:extLst>
        </xdr:cNvPr>
        <xdr:cNvSpPr txBox="1"/>
      </xdr:nvSpPr>
      <xdr:spPr>
        <a:xfrm>
          <a:off x="12077178" y="250522"/>
          <a:ext cx="1784958" cy="793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02928"/>
              </a:solidFill>
              <a:latin typeface="Arial" panose="020B0604020202020204" pitchFamily="34" charset="0"/>
              <a:cs typeface="Arial" panose="020B0604020202020204" pitchFamily="34" charset="0"/>
            </a:rPr>
            <a:t>JOB</a:t>
          </a:r>
        </a:p>
        <a:p>
          <a:pPr algn="ctr"/>
          <a:r>
            <a:rPr lang="en-US" sz="1400" b="1">
              <a:solidFill>
                <a:srgbClr val="602928"/>
              </a:solidFill>
              <a:latin typeface="Arial" panose="020B0604020202020204" pitchFamily="34" charset="0"/>
              <a:cs typeface="Arial" panose="020B0604020202020204" pitchFamily="34" charset="0"/>
            </a:rPr>
            <a:t>SATISFACTION </a:t>
          </a:r>
        </a:p>
        <a:p>
          <a:pPr algn="ctr"/>
          <a:r>
            <a:rPr lang="en-US" sz="1400" b="1">
              <a:solidFill>
                <a:srgbClr val="602928"/>
              </a:solidFill>
              <a:latin typeface="Arial" panose="020B0604020202020204" pitchFamily="34" charset="0"/>
              <a:cs typeface="Arial" panose="020B0604020202020204" pitchFamily="34" charset="0"/>
            </a:rPr>
            <a:t>RATING</a:t>
          </a:r>
        </a:p>
      </xdr:txBody>
    </xdr:sp>
    <xdr:clientData/>
  </xdr:twoCellAnchor>
  <xdr:twoCellAnchor>
    <xdr:from>
      <xdr:col>20</xdr:col>
      <xdr:colOff>647177</xdr:colOff>
      <xdr:row>0</xdr:row>
      <xdr:rowOff>10438</xdr:rowOff>
    </xdr:from>
    <xdr:to>
      <xdr:col>22</xdr:col>
      <xdr:colOff>511479</xdr:colOff>
      <xdr:row>6</xdr:row>
      <xdr:rowOff>52191</xdr:rowOff>
    </xdr:to>
    <xdr:graphicFrame macro="">
      <xdr:nvGraphicFramePr>
        <xdr:cNvPr id="83" name="Chart 82">
          <a:extLst>
            <a:ext uri="{FF2B5EF4-FFF2-40B4-BE49-F238E27FC236}">
              <a16:creationId xmlns:a16="http://schemas.microsoft.com/office/drawing/2014/main" id="{5DE215FE-0248-4ED5-B98E-9FCDD64D6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344464</xdr:colOff>
      <xdr:row>2</xdr:row>
      <xdr:rowOff>73069</xdr:rowOff>
    </xdr:from>
    <xdr:to>
      <xdr:col>22</xdr:col>
      <xdr:colOff>135696</xdr:colOff>
      <xdr:row>4</xdr:row>
      <xdr:rowOff>10438</xdr:rowOff>
    </xdr:to>
    <xdr:sp macro="" textlink="Rating!$B$7">
      <xdr:nvSpPr>
        <xdr:cNvPr id="84" name="TextBox 83">
          <a:extLst>
            <a:ext uri="{FF2B5EF4-FFF2-40B4-BE49-F238E27FC236}">
              <a16:creationId xmlns:a16="http://schemas.microsoft.com/office/drawing/2014/main" id="{BACBC492-CA09-4F45-8FB0-CFB2BA84FA03}"/>
            </a:ext>
          </a:extLst>
        </xdr:cNvPr>
        <xdr:cNvSpPr txBox="1"/>
      </xdr:nvSpPr>
      <xdr:spPr>
        <a:xfrm>
          <a:off x="14154409" y="448850"/>
          <a:ext cx="448849" cy="313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6EFF5D-62FB-426E-AE9E-802FDD8C0B38}" type="TxLink">
            <a:rPr lang="en-US" sz="1400" b="1" i="0" u="none" strike="noStrike">
              <a:solidFill>
                <a:srgbClr val="002060"/>
              </a:solidFill>
              <a:latin typeface="Arial" panose="020B0604020202020204" pitchFamily="34" charset="0"/>
              <a:ea typeface="Calibri"/>
              <a:cs typeface="Arial" panose="020B0604020202020204" pitchFamily="34" charset="0"/>
            </a:rPr>
            <a:t>2.6</a:t>
          </a:fld>
          <a:endParaRPr lang="en-US" sz="1400" b="1">
            <a:solidFill>
              <a:srgbClr val="002060"/>
            </a:solidFill>
            <a:latin typeface="Arial" panose="020B0604020202020204" pitchFamily="34" charset="0"/>
            <a:cs typeface="Arial" panose="020B0604020202020204" pitchFamily="34" charset="0"/>
          </a:endParaRPr>
        </a:p>
      </xdr:txBody>
    </xdr:sp>
    <xdr:clientData/>
  </xdr:twoCellAnchor>
  <xdr:twoCellAnchor>
    <xdr:from>
      <xdr:col>22</xdr:col>
      <xdr:colOff>396657</xdr:colOff>
      <xdr:row>1</xdr:row>
      <xdr:rowOff>31315</xdr:rowOff>
    </xdr:from>
    <xdr:to>
      <xdr:col>25</xdr:col>
      <xdr:colOff>177452</xdr:colOff>
      <xdr:row>5</xdr:row>
      <xdr:rowOff>11273</xdr:rowOff>
    </xdr:to>
    <xdr:graphicFrame macro="">
      <xdr:nvGraphicFramePr>
        <xdr:cNvPr id="87" name="Chart 86">
          <a:extLst>
            <a:ext uri="{FF2B5EF4-FFF2-40B4-BE49-F238E27FC236}">
              <a16:creationId xmlns:a16="http://schemas.microsoft.com/office/drawing/2014/main" id="{971D9A35-4672-4C72-89D2-EA730A17B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459289</xdr:colOff>
      <xdr:row>1</xdr:row>
      <xdr:rowOff>114822</xdr:rowOff>
    </xdr:from>
    <xdr:to>
      <xdr:col>25</xdr:col>
      <xdr:colOff>319553</xdr:colOff>
      <xdr:row>4</xdr:row>
      <xdr:rowOff>80623</xdr:rowOff>
    </xdr:to>
    <xdr:sp macro="" textlink="">
      <xdr:nvSpPr>
        <xdr:cNvPr id="85" name="Freeform: Shape 84">
          <a:extLst>
            <a:ext uri="{FF2B5EF4-FFF2-40B4-BE49-F238E27FC236}">
              <a16:creationId xmlns:a16="http://schemas.microsoft.com/office/drawing/2014/main" id="{885AD141-23CF-806D-4D7C-C3777D81F142}"/>
            </a:ext>
          </a:extLst>
        </xdr:cNvPr>
        <xdr:cNvSpPr/>
      </xdr:nvSpPr>
      <xdr:spPr>
        <a:xfrm>
          <a:off x="14926851" y="302712"/>
          <a:ext cx="1833113" cy="529473"/>
        </a:xfrm>
        <a:custGeom>
          <a:avLst/>
          <a:gdLst>
            <a:gd name="csX0" fmla="*/ 1353953 w 2328420"/>
            <a:gd name="csY0" fmla="*/ 105234 h 529473"/>
            <a:gd name="csX1" fmla="*/ 1303412 w 2328420"/>
            <a:gd name="csY1" fmla="*/ 222270 h 529473"/>
            <a:gd name="csX2" fmla="*/ 1139857 w 2328420"/>
            <a:gd name="csY2" fmla="*/ 222270 h 529473"/>
            <a:gd name="csX3" fmla="*/ 1272177 w 2328420"/>
            <a:gd name="csY3" fmla="*/ 294601 h 529473"/>
            <a:gd name="csX4" fmla="*/ 1221634 w 2328420"/>
            <a:gd name="csY4" fmla="*/ 411637 h 529473"/>
            <a:gd name="csX5" fmla="*/ 1353953 w 2328420"/>
            <a:gd name="csY5" fmla="*/ 339304 h 529473"/>
            <a:gd name="csX6" fmla="*/ 1486271 w 2328420"/>
            <a:gd name="csY6" fmla="*/ 411637 h 529473"/>
            <a:gd name="csX7" fmla="*/ 1435728 w 2328420"/>
            <a:gd name="csY7" fmla="*/ 294601 h 529473"/>
            <a:gd name="csX8" fmla="*/ 1568048 w 2328420"/>
            <a:gd name="csY8" fmla="*/ 222270 h 529473"/>
            <a:gd name="csX9" fmla="*/ 1404493 w 2328420"/>
            <a:gd name="csY9" fmla="*/ 222270 h 529473"/>
            <a:gd name="csX10" fmla="*/ 277951 w 2328420"/>
            <a:gd name="csY10" fmla="*/ 105234 h 529473"/>
            <a:gd name="csX11" fmla="*/ 227410 w 2328420"/>
            <a:gd name="csY11" fmla="*/ 222270 h 529473"/>
            <a:gd name="csX12" fmla="*/ 63855 w 2328420"/>
            <a:gd name="csY12" fmla="*/ 222270 h 529473"/>
            <a:gd name="csX13" fmla="*/ 196175 w 2328420"/>
            <a:gd name="csY13" fmla="*/ 294601 h 529473"/>
            <a:gd name="csX14" fmla="*/ 145632 w 2328420"/>
            <a:gd name="csY14" fmla="*/ 411637 h 529473"/>
            <a:gd name="csX15" fmla="*/ 277951 w 2328420"/>
            <a:gd name="csY15" fmla="*/ 339304 h 529473"/>
            <a:gd name="csX16" fmla="*/ 410269 w 2328420"/>
            <a:gd name="csY16" fmla="*/ 411637 h 529473"/>
            <a:gd name="csX17" fmla="*/ 359726 w 2328420"/>
            <a:gd name="csY17" fmla="*/ 294601 h 529473"/>
            <a:gd name="csX18" fmla="*/ 492046 w 2328420"/>
            <a:gd name="csY18" fmla="*/ 222270 h 529473"/>
            <a:gd name="csX19" fmla="*/ 328491 w 2328420"/>
            <a:gd name="csY19" fmla="*/ 222270 h 529473"/>
            <a:gd name="csX20" fmla="*/ 1845999 w 2328420"/>
            <a:gd name="csY20" fmla="*/ 101323 h 529473"/>
            <a:gd name="csX21" fmla="*/ 1795458 w 2328420"/>
            <a:gd name="csY21" fmla="*/ 218359 h 529473"/>
            <a:gd name="csX22" fmla="*/ 1631903 w 2328420"/>
            <a:gd name="csY22" fmla="*/ 218359 h 529473"/>
            <a:gd name="csX23" fmla="*/ 1764223 w 2328420"/>
            <a:gd name="csY23" fmla="*/ 290690 h 529473"/>
            <a:gd name="csX24" fmla="*/ 1713680 w 2328420"/>
            <a:gd name="csY24" fmla="*/ 407726 h 529473"/>
            <a:gd name="csX25" fmla="*/ 1845999 w 2328420"/>
            <a:gd name="csY25" fmla="*/ 335393 h 529473"/>
            <a:gd name="csX26" fmla="*/ 1978317 w 2328420"/>
            <a:gd name="csY26" fmla="*/ 407726 h 529473"/>
            <a:gd name="csX27" fmla="*/ 1927774 w 2328420"/>
            <a:gd name="csY27" fmla="*/ 290690 h 529473"/>
            <a:gd name="csX28" fmla="*/ 2060094 w 2328420"/>
            <a:gd name="csY28" fmla="*/ 218359 h 529473"/>
            <a:gd name="csX29" fmla="*/ 1896539 w 2328420"/>
            <a:gd name="csY29" fmla="*/ 218359 h 529473"/>
            <a:gd name="csX30" fmla="*/ 815952 w 2328420"/>
            <a:gd name="csY30" fmla="*/ 87984 h 529473"/>
            <a:gd name="csX31" fmla="*/ 765411 w 2328420"/>
            <a:gd name="csY31" fmla="*/ 205020 h 529473"/>
            <a:gd name="csX32" fmla="*/ 601856 w 2328420"/>
            <a:gd name="csY32" fmla="*/ 205020 h 529473"/>
            <a:gd name="csX33" fmla="*/ 734176 w 2328420"/>
            <a:gd name="csY33" fmla="*/ 277351 h 529473"/>
            <a:gd name="csX34" fmla="*/ 683633 w 2328420"/>
            <a:gd name="csY34" fmla="*/ 394387 h 529473"/>
            <a:gd name="csX35" fmla="*/ 815952 w 2328420"/>
            <a:gd name="csY35" fmla="*/ 322054 h 529473"/>
            <a:gd name="csX36" fmla="*/ 948270 w 2328420"/>
            <a:gd name="csY36" fmla="*/ 394387 h 529473"/>
            <a:gd name="csX37" fmla="*/ 897727 w 2328420"/>
            <a:gd name="csY37" fmla="*/ 277351 h 529473"/>
            <a:gd name="csX38" fmla="*/ 1030047 w 2328420"/>
            <a:gd name="csY38" fmla="*/ 205020 h 529473"/>
            <a:gd name="csX39" fmla="*/ 866492 w 2328420"/>
            <a:gd name="csY39" fmla="*/ 205020 h 529473"/>
            <a:gd name="csX40" fmla="*/ 0 w 2328420"/>
            <a:gd name="csY40" fmla="*/ 0 h 529473"/>
            <a:gd name="csX41" fmla="*/ 2328420 w 2328420"/>
            <a:gd name="csY41" fmla="*/ 0 h 529473"/>
            <a:gd name="csX42" fmla="*/ 2328420 w 2328420"/>
            <a:gd name="csY42" fmla="*/ 529473 h 529473"/>
            <a:gd name="csX43" fmla="*/ 0 w 2328420"/>
            <a:gd name="csY43" fmla="*/ 529473 h 52947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328420" h="529473">
              <a:moveTo>
                <a:pt x="1353953" y="105234"/>
              </a:moveTo>
              <a:lnTo>
                <a:pt x="1303412" y="222270"/>
              </a:lnTo>
              <a:lnTo>
                <a:pt x="1139857" y="222270"/>
              </a:lnTo>
              <a:lnTo>
                <a:pt x="1272177" y="294601"/>
              </a:lnTo>
              <a:lnTo>
                <a:pt x="1221634" y="411637"/>
              </a:lnTo>
              <a:lnTo>
                <a:pt x="1353953" y="339304"/>
              </a:lnTo>
              <a:lnTo>
                <a:pt x="1486271" y="411637"/>
              </a:lnTo>
              <a:lnTo>
                <a:pt x="1435728" y="294601"/>
              </a:lnTo>
              <a:lnTo>
                <a:pt x="1568048" y="222270"/>
              </a:lnTo>
              <a:lnTo>
                <a:pt x="1404493" y="222270"/>
              </a:lnTo>
              <a:close/>
              <a:moveTo>
                <a:pt x="277951" y="105234"/>
              </a:moveTo>
              <a:lnTo>
                <a:pt x="227410" y="222270"/>
              </a:lnTo>
              <a:lnTo>
                <a:pt x="63855" y="222270"/>
              </a:lnTo>
              <a:lnTo>
                <a:pt x="196175" y="294601"/>
              </a:lnTo>
              <a:lnTo>
                <a:pt x="145632" y="411637"/>
              </a:lnTo>
              <a:lnTo>
                <a:pt x="277951" y="339304"/>
              </a:lnTo>
              <a:lnTo>
                <a:pt x="410269" y="411637"/>
              </a:lnTo>
              <a:lnTo>
                <a:pt x="359726" y="294601"/>
              </a:lnTo>
              <a:lnTo>
                <a:pt x="492046" y="222270"/>
              </a:lnTo>
              <a:lnTo>
                <a:pt x="328491" y="222270"/>
              </a:lnTo>
              <a:close/>
              <a:moveTo>
                <a:pt x="1845999" y="101323"/>
              </a:moveTo>
              <a:lnTo>
                <a:pt x="1795458" y="218359"/>
              </a:lnTo>
              <a:lnTo>
                <a:pt x="1631903" y="218359"/>
              </a:lnTo>
              <a:lnTo>
                <a:pt x="1764223" y="290690"/>
              </a:lnTo>
              <a:lnTo>
                <a:pt x="1713680" y="407726"/>
              </a:lnTo>
              <a:lnTo>
                <a:pt x="1845999" y="335393"/>
              </a:lnTo>
              <a:lnTo>
                <a:pt x="1978317" y="407726"/>
              </a:lnTo>
              <a:lnTo>
                <a:pt x="1927774" y="290690"/>
              </a:lnTo>
              <a:lnTo>
                <a:pt x="2060094" y="218359"/>
              </a:lnTo>
              <a:lnTo>
                <a:pt x="1896539" y="218359"/>
              </a:lnTo>
              <a:close/>
              <a:moveTo>
                <a:pt x="815952" y="87984"/>
              </a:moveTo>
              <a:lnTo>
                <a:pt x="765411" y="205020"/>
              </a:lnTo>
              <a:lnTo>
                <a:pt x="601856" y="205020"/>
              </a:lnTo>
              <a:lnTo>
                <a:pt x="734176" y="277351"/>
              </a:lnTo>
              <a:lnTo>
                <a:pt x="683633" y="394387"/>
              </a:lnTo>
              <a:lnTo>
                <a:pt x="815952" y="322054"/>
              </a:lnTo>
              <a:lnTo>
                <a:pt x="948270" y="394387"/>
              </a:lnTo>
              <a:lnTo>
                <a:pt x="897727" y="277351"/>
              </a:lnTo>
              <a:lnTo>
                <a:pt x="1030047" y="205020"/>
              </a:lnTo>
              <a:lnTo>
                <a:pt x="866492" y="205020"/>
              </a:lnTo>
              <a:close/>
              <a:moveTo>
                <a:pt x="0" y="0"/>
              </a:moveTo>
              <a:lnTo>
                <a:pt x="2328420" y="0"/>
              </a:lnTo>
              <a:lnTo>
                <a:pt x="2328420" y="529473"/>
              </a:lnTo>
              <a:lnTo>
                <a:pt x="0" y="529473"/>
              </a:lnTo>
              <a:close/>
            </a:path>
          </a:pathLst>
        </a:custGeom>
        <a:solidFill>
          <a:schemeClr val="bg1"/>
        </a:solidFill>
        <a:ln>
          <a:solidFill>
            <a:srgbClr val="602928"/>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93945</xdr:colOff>
      <xdr:row>16</xdr:row>
      <xdr:rowOff>187889</xdr:rowOff>
    </xdr:from>
    <xdr:to>
      <xdr:col>5</xdr:col>
      <xdr:colOff>218712</xdr:colOff>
      <xdr:row>24</xdr:row>
      <xdr:rowOff>124766</xdr:rowOff>
    </xdr:to>
    <xdr:graphicFrame macro="">
      <xdr:nvGraphicFramePr>
        <xdr:cNvPr id="89" name="Chart 88">
          <a:extLst>
            <a:ext uri="{FF2B5EF4-FFF2-40B4-BE49-F238E27FC236}">
              <a16:creationId xmlns:a16="http://schemas.microsoft.com/office/drawing/2014/main" id="{754A41AE-BA77-498D-9FBF-48ED8F070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511479</xdr:colOff>
      <xdr:row>16</xdr:row>
      <xdr:rowOff>177451</xdr:rowOff>
    </xdr:from>
    <xdr:to>
      <xdr:col>9</xdr:col>
      <xdr:colOff>636246</xdr:colOff>
      <xdr:row>24</xdr:row>
      <xdr:rowOff>114328</xdr:rowOff>
    </xdr:to>
    <xdr:graphicFrame macro="">
      <xdr:nvGraphicFramePr>
        <xdr:cNvPr id="90" name="Chart 89">
          <a:extLst>
            <a:ext uri="{FF2B5EF4-FFF2-40B4-BE49-F238E27FC236}">
              <a16:creationId xmlns:a16="http://schemas.microsoft.com/office/drawing/2014/main" id="{C666A7E0-5F97-4901-BD02-7538F9D8F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407094</xdr:colOff>
      <xdr:row>18</xdr:row>
      <xdr:rowOff>114820</xdr:rowOff>
    </xdr:from>
    <xdr:to>
      <xdr:col>7</xdr:col>
      <xdr:colOff>505478</xdr:colOff>
      <xdr:row>22</xdr:row>
      <xdr:rowOff>119258</xdr:rowOff>
    </xdr:to>
    <xdr:pic>
      <xdr:nvPicPr>
        <xdr:cNvPr id="92" name="Picture 91">
          <a:extLst>
            <a:ext uri="{FF2B5EF4-FFF2-40B4-BE49-F238E27FC236}">
              <a16:creationId xmlns:a16="http://schemas.microsoft.com/office/drawing/2014/main" id="{CA04A710-3407-B51B-001B-D7B69E38839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52793" y="3496847"/>
          <a:ext cx="756000" cy="756000"/>
        </a:xfrm>
        <a:prstGeom prst="rect">
          <a:avLst/>
        </a:prstGeom>
        <a:solidFill>
          <a:srgbClr val="00B050"/>
        </a:solidFill>
      </xdr:spPr>
    </xdr:pic>
    <xdr:clientData/>
  </xdr:twoCellAnchor>
  <xdr:twoCellAnchor editAs="oneCell">
    <xdr:from>
      <xdr:col>5</xdr:col>
      <xdr:colOff>229644</xdr:colOff>
      <xdr:row>18</xdr:row>
      <xdr:rowOff>114822</xdr:rowOff>
    </xdr:from>
    <xdr:to>
      <xdr:col>6</xdr:col>
      <xdr:colOff>271397</xdr:colOff>
      <xdr:row>22</xdr:row>
      <xdr:rowOff>90943</xdr:rowOff>
    </xdr:to>
    <xdr:pic>
      <xdr:nvPicPr>
        <xdr:cNvPr id="94" name="Picture 93">
          <a:extLst>
            <a:ext uri="{FF2B5EF4-FFF2-40B4-BE49-F238E27FC236}">
              <a16:creationId xmlns:a16="http://schemas.microsoft.com/office/drawing/2014/main" id="{F356AA3D-6857-6BEF-E60E-B2BE9E82554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517726" y="3496849"/>
          <a:ext cx="699370" cy="727683"/>
        </a:xfrm>
        <a:prstGeom prst="rect">
          <a:avLst/>
        </a:prstGeom>
        <a:solidFill>
          <a:srgbClr val="0070C0"/>
        </a:solidFill>
      </xdr:spPr>
    </xdr:pic>
    <xdr:clientData/>
  </xdr:twoCellAnchor>
  <xdr:twoCellAnchor>
    <xdr:from>
      <xdr:col>3</xdr:col>
      <xdr:colOff>580371</xdr:colOff>
      <xdr:row>19</xdr:row>
      <xdr:rowOff>183714</xdr:rowOff>
    </xdr:from>
    <xdr:to>
      <xdr:col>4</xdr:col>
      <xdr:colOff>427972</xdr:colOff>
      <xdr:row>21</xdr:row>
      <xdr:rowOff>167012</xdr:rowOff>
    </xdr:to>
    <xdr:sp macro="" textlink="Gender!$B$10">
      <xdr:nvSpPr>
        <xdr:cNvPr id="95" name="TextBox 94">
          <a:extLst>
            <a:ext uri="{FF2B5EF4-FFF2-40B4-BE49-F238E27FC236}">
              <a16:creationId xmlns:a16="http://schemas.microsoft.com/office/drawing/2014/main" id="{BC7BEC42-616D-4C7B-8420-4E39C016AD73}"/>
            </a:ext>
          </a:extLst>
        </xdr:cNvPr>
        <xdr:cNvSpPr txBox="1"/>
      </xdr:nvSpPr>
      <xdr:spPr>
        <a:xfrm>
          <a:off x="2553220" y="3753632"/>
          <a:ext cx="505218" cy="3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5498F1-7FF6-4CBC-B330-8029C9A75E6D}" type="TxLink">
            <a:rPr lang="en-US" sz="1400" b="1" i="0" u="none" strike="noStrike">
              <a:solidFill>
                <a:srgbClr val="002060"/>
              </a:solidFill>
              <a:latin typeface="Arial" panose="020B0604020202020204" pitchFamily="34" charset="0"/>
              <a:ea typeface="Calibri"/>
              <a:cs typeface="Arial" panose="020B0604020202020204" pitchFamily="34" charset="0"/>
            </a:rPr>
            <a:pPr algn="ctr"/>
            <a:t>588</a:t>
          </a:fld>
          <a:endParaRPr lang="en-US" sz="1400" b="1">
            <a:solidFill>
              <a:srgbClr val="002060"/>
            </a:solidFill>
            <a:latin typeface="Arial" panose="020B0604020202020204" pitchFamily="34" charset="0"/>
            <a:cs typeface="Arial" panose="020B0604020202020204" pitchFamily="34" charset="0"/>
          </a:endParaRPr>
        </a:p>
      </xdr:txBody>
    </xdr:sp>
    <xdr:clientData/>
  </xdr:twoCellAnchor>
  <xdr:twoCellAnchor>
    <xdr:from>
      <xdr:col>8</xdr:col>
      <xdr:colOff>315236</xdr:colOff>
      <xdr:row>19</xdr:row>
      <xdr:rowOff>148224</xdr:rowOff>
    </xdr:from>
    <xdr:to>
      <xdr:col>9</xdr:col>
      <xdr:colOff>162838</xdr:colOff>
      <xdr:row>21</xdr:row>
      <xdr:rowOff>131522</xdr:rowOff>
    </xdr:to>
    <xdr:sp macro="" textlink="Gender!$B$11">
      <xdr:nvSpPr>
        <xdr:cNvPr id="96" name="TextBox 95">
          <a:extLst>
            <a:ext uri="{FF2B5EF4-FFF2-40B4-BE49-F238E27FC236}">
              <a16:creationId xmlns:a16="http://schemas.microsoft.com/office/drawing/2014/main" id="{B4A8B1C0-73DE-44CB-9469-09925745327E}"/>
            </a:ext>
          </a:extLst>
        </xdr:cNvPr>
        <xdr:cNvSpPr txBox="1"/>
      </xdr:nvSpPr>
      <xdr:spPr>
        <a:xfrm>
          <a:off x="5576168" y="3718142"/>
          <a:ext cx="505218" cy="3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70A6D3-0300-4F4F-85BE-E26E4BD1024F}" type="TxLink">
            <a:rPr lang="en-US" sz="1400" b="1" i="0" u="none" strike="noStrike">
              <a:solidFill>
                <a:srgbClr val="002060"/>
              </a:solidFill>
              <a:latin typeface="Arial" panose="020B0604020202020204" pitchFamily="34" charset="0"/>
              <a:ea typeface="Calibri"/>
              <a:cs typeface="Arial" panose="020B0604020202020204" pitchFamily="34" charset="0"/>
            </a:rPr>
            <a:t>882</a:t>
          </a:fld>
          <a:endParaRPr lang="en-US" sz="1400" b="1">
            <a:solidFill>
              <a:srgbClr val="002060"/>
            </a:solidFill>
            <a:latin typeface="Arial" panose="020B0604020202020204" pitchFamily="34" charset="0"/>
            <a:cs typeface="Arial" panose="020B0604020202020204" pitchFamily="34" charset="0"/>
          </a:endParaRPr>
        </a:p>
      </xdr:txBody>
    </xdr:sp>
    <xdr:clientData/>
  </xdr:twoCellAnchor>
  <xdr:twoCellAnchor>
    <xdr:from>
      <xdr:col>3</xdr:col>
      <xdr:colOff>313151</xdr:colOff>
      <xdr:row>11</xdr:row>
      <xdr:rowOff>73068</xdr:rowOff>
    </xdr:from>
    <xdr:to>
      <xdr:col>9</xdr:col>
      <xdr:colOff>114822</xdr:colOff>
      <xdr:row>13</xdr:row>
      <xdr:rowOff>41754</xdr:rowOff>
    </xdr:to>
    <xdr:sp macro="" textlink="">
      <xdr:nvSpPr>
        <xdr:cNvPr id="97" name="TextBox 96">
          <a:extLst>
            <a:ext uri="{FF2B5EF4-FFF2-40B4-BE49-F238E27FC236}">
              <a16:creationId xmlns:a16="http://schemas.microsoft.com/office/drawing/2014/main" id="{36F1630F-191F-B582-7870-A95DDC480E21}"/>
            </a:ext>
          </a:extLst>
        </xdr:cNvPr>
        <xdr:cNvSpPr txBox="1"/>
      </xdr:nvSpPr>
      <xdr:spPr>
        <a:xfrm>
          <a:off x="2286000" y="2139863"/>
          <a:ext cx="3747370" cy="344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Arial" panose="020B0604020202020204" pitchFamily="34" charset="0"/>
              <a:cs typeface="Arial" panose="020B0604020202020204" pitchFamily="34" charset="0"/>
            </a:rPr>
            <a:t>Total Employees by Gender</a:t>
          </a:r>
        </a:p>
      </xdr:txBody>
    </xdr:sp>
    <xdr:clientData/>
  </xdr:twoCellAnchor>
  <xdr:twoCellAnchor editAs="oneCell">
    <xdr:from>
      <xdr:col>5</xdr:col>
      <xdr:colOff>93946</xdr:colOff>
      <xdr:row>13</xdr:row>
      <xdr:rowOff>135699</xdr:rowOff>
    </xdr:from>
    <xdr:to>
      <xdr:col>7</xdr:col>
      <xdr:colOff>607513</xdr:colOff>
      <xdr:row>18</xdr:row>
      <xdr:rowOff>0</xdr:rowOff>
    </xdr:to>
    <mc:AlternateContent xmlns:mc="http://schemas.openxmlformats.org/markup-compatibility/2006">
      <mc:Choice xmlns:a14="http://schemas.microsoft.com/office/drawing/2010/main" Requires="a14">
        <xdr:graphicFrame macro="">
          <xdr:nvGraphicFramePr>
            <xdr:cNvPr id="98" name="Gender 3">
              <a:extLst>
                <a:ext uri="{FF2B5EF4-FFF2-40B4-BE49-F238E27FC236}">
                  <a16:creationId xmlns:a16="http://schemas.microsoft.com/office/drawing/2014/main" id="{BD293764-7EBA-498D-810C-D19070C7A08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3359660" y="2651509"/>
              <a:ext cx="1819853" cy="831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208768</xdr:colOff>
      <xdr:row>14</xdr:row>
      <xdr:rowOff>52192</xdr:rowOff>
    </xdr:from>
    <xdr:to>
      <xdr:col>17</xdr:col>
      <xdr:colOff>574111</xdr:colOff>
      <xdr:row>24</xdr:row>
      <xdr:rowOff>167014</xdr:rowOff>
    </xdr:to>
    <xdr:graphicFrame macro="">
      <xdr:nvGraphicFramePr>
        <xdr:cNvPr id="99" name="Chart 98">
          <a:extLst>
            <a:ext uri="{FF2B5EF4-FFF2-40B4-BE49-F238E27FC236}">
              <a16:creationId xmlns:a16="http://schemas.microsoft.com/office/drawing/2014/main" id="{A1ED4CC6-AC1F-4C52-AF27-FE0ABC84E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183715</xdr:colOff>
      <xdr:row>11</xdr:row>
      <xdr:rowOff>68893</xdr:rowOff>
    </xdr:from>
    <xdr:to>
      <xdr:col>15</xdr:col>
      <xdr:colOff>643002</xdr:colOff>
      <xdr:row>12</xdr:row>
      <xdr:rowOff>162838</xdr:rowOff>
    </xdr:to>
    <xdr:sp macro="" textlink="">
      <xdr:nvSpPr>
        <xdr:cNvPr id="101" name="TextBox 100">
          <a:extLst>
            <a:ext uri="{FF2B5EF4-FFF2-40B4-BE49-F238E27FC236}">
              <a16:creationId xmlns:a16="http://schemas.microsoft.com/office/drawing/2014/main" id="{F344A56A-8CD0-4F00-8981-580772565814}"/>
            </a:ext>
          </a:extLst>
        </xdr:cNvPr>
        <xdr:cNvSpPr txBox="1"/>
      </xdr:nvSpPr>
      <xdr:spPr>
        <a:xfrm>
          <a:off x="6759879" y="2135688"/>
          <a:ext cx="3747370" cy="281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Arial" panose="020B0604020202020204" pitchFamily="34" charset="0"/>
              <a:cs typeface="Arial" panose="020B0604020202020204" pitchFamily="34" charset="0"/>
            </a:rPr>
            <a:t>Education</a:t>
          </a:r>
          <a:r>
            <a:rPr lang="en-US" sz="1800" b="1" baseline="0">
              <a:solidFill>
                <a:srgbClr val="602928"/>
              </a:solidFill>
              <a:latin typeface="Arial" panose="020B0604020202020204" pitchFamily="34" charset="0"/>
              <a:cs typeface="Arial" panose="020B0604020202020204" pitchFamily="34" charset="0"/>
            </a:rPr>
            <a:t> wise Attrition</a:t>
          </a:r>
          <a:endParaRPr lang="en-US" sz="18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18</xdr:col>
      <xdr:colOff>396657</xdr:colOff>
      <xdr:row>13</xdr:row>
      <xdr:rowOff>177452</xdr:rowOff>
    </xdr:from>
    <xdr:to>
      <xdr:col>25</xdr:col>
      <xdr:colOff>313151</xdr:colOff>
      <xdr:row>25</xdr:row>
      <xdr:rowOff>1</xdr:rowOff>
    </xdr:to>
    <mc:AlternateContent xmlns:mc="http://schemas.openxmlformats.org/markup-compatibility/2006">
      <mc:Choice xmlns:cx1="http://schemas.microsoft.com/office/drawing/2015/9/8/chartex" Requires="cx1">
        <xdr:graphicFrame macro="">
          <xdr:nvGraphicFramePr>
            <xdr:cNvPr id="102" name="Chart 101">
              <a:extLst>
                <a:ext uri="{FF2B5EF4-FFF2-40B4-BE49-F238E27FC236}">
                  <a16:creationId xmlns:a16="http://schemas.microsoft.com/office/drawing/2014/main" id="{4E3ADCB3-F5EE-4B72-B240-A3D4920836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2233753" y="2620027"/>
              <a:ext cx="4519809" cy="20772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388306</xdr:colOff>
      <xdr:row>11</xdr:row>
      <xdr:rowOff>85594</xdr:rowOff>
    </xdr:from>
    <xdr:to>
      <xdr:col>24</xdr:col>
      <xdr:colOff>189977</xdr:colOff>
      <xdr:row>12</xdr:row>
      <xdr:rowOff>179539</xdr:rowOff>
    </xdr:to>
    <xdr:sp macro="" textlink="">
      <xdr:nvSpPr>
        <xdr:cNvPr id="103" name="TextBox 102">
          <a:extLst>
            <a:ext uri="{FF2B5EF4-FFF2-40B4-BE49-F238E27FC236}">
              <a16:creationId xmlns:a16="http://schemas.microsoft.com/office/drawing/2014/main" id="{45F0A999-ADA5-4833-BB84-A9C944062C00}"/>
            </a:ext>
          </a:extLst>
        </xdr:cNvPr>
        <xdr:cNvSpPr txBox="1"/>
      </xdr:nvSpPr>
      <xdr:spPr>
        <a:xfrm>
          <a:off x="12225402" y="2152389"/>
          <a:ext cx="3747370" cy="281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Arial" panose="020B0604020202020204" pitchFamily="34" charset="0"/>
              <a:cs typeface="Arial" panose="020B0604020202020204" pitchFamily="34" charset="0"/>
            </a:rPr>
            <a:t>Attrition</a:t>
          </a:r>
          <a:r>
            <a:rPr lang="en-US" sz="1800" b="1" baseline="0">
              <a:solidFill>
                <a:srgbClr val="602928"/>
              </a:solidFill>
              <a:latin typeface="Arial" panose="020B0604020202020204" pitchFamily="34" charset="0"/>
              <a:cs typeface="Arial" panose="020B0604020202020204" pitchFamily="34" charset="0"/>
            </a:rPr>
            <a:t> by Job Role</a:t>
          </a:r>
          <a:endParaRPr lang="en-US" sz="1800" b="1">
            <a:solidFill>
              <a:srgbClr val="602928"/>
            </a:solidFill>
            <a:latin typeface="Arial" panose="020B0604020202020204" pitchFamily="34" charset="0"/>
            <a:cs typeface="Arial" panose="020B0604020202020204" pitchFamily="34" charset="0"/>
          </a:endParaRPr>
        </a:p>
      </xdr:txBody>
    </xdr:sp>
    <xdr:clientData/>
  </xdr:twoCellAnchor>
  <xdr:twoCellAnchor>
    <xdr:from>
      <xdr:col>4</xdr:col>
      <xdr:colOff>132</xdr:colOff>
      <xdr:row>27</xdr:row>
      <xdr:rowOff>89057</xdr:rowOff>
    </xdr:from>
    <xdr:to>
      <xdr:col>9</xdr:col>
      <xdr:colOff>40168</xdr:colOff>
      <xdr:row>39</xdr:row>
      <xdr:rowOff>163494</xdr:rowOff>
    </xdr:to>
    <xdr:graphicFrame macro="">
      <xdr:nvGraphicFramePr>
        <xdr:cNvPr id="105" name="Chart 104">
          <a:extLst>
            <a:ext uri="{FF2B5EF4-FFF2-40B4-BE49-F238E27FC236}">
              <a16:creationId xmlns:a16="http://schemas.microsoft.com/office/drawing/2014/main" id="{218C7663-177B-4D8D-B35B-808D33735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348350</xdr:colOff>
      <xdr:row>25</xdr:row>
      <xdr:rowOff>56737</xdr:rowOff>
    </xdr:from>
    <xdr:to>
      <xdr:col>9</xdr:col>
      <xdr:colOff>150021</xdr:colOff>
      <xdr:row>26</xdr:row>
      <xdr:rowOff>155703</xdr:rowOff>
    </xdr:to>
    <xdr:sp macro="" textlink="">
      <xdr:nvSpPr>
        <xdr:cNvPr id="106" name="TextBox 105">
          <a:extLst>
            <a:ext uri="{FF2B5EF4-FFF2-40B4-BE49-F238E27FC236}">
              <a16:creationId xmlns:a16="http://schemas.microsoft.com/office/drawing/2014/main" id="{B0FDA511-C009-4788-8038-4DA8C218C594}"/>
            </a:ext>
          </a:extLst>
        </xdr:cNvPr>
        <xdr:cNvSpPr txBox="1"/>
      </xdr:nvSpPr>
      <xdr:spPr>
        <a:xfrm>
          <a:off x="2316046" y="4879522"/>
          <a:ext cx="3737064" cy="291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Arial" panose="020B0604020202020204" pitchFamily="34" charset="0"/>
              <a:cs typeface="Arial" panose="020B0604020202020204" pitchFamily="34" charset="0"/>
            </a:rPr>
            <a:t>Department</a:t>
          </a:r>
          <a:r>
            <a:rPr lang="en-US" sz="1800" b="1" baseline="0">
              <a:solidFill>
                <a:srgbClr val="602928"/>
              </a:solidFill>
              <a:latin typeface="Arial" panose="020B0604020202020204" pitchFamily="34" charset="0"/>
              <a:cs typeface="Arial" panose="020B0604020202020204" pitchFamily="34" charset="0"/>
            </a:rPr>
            <a:t> wise Attrition</a:t>
          </a:r>
          <a:endParaRPr lang="en-US" sz="18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10</xdr:col>
      <xdr:colOff>164395</xdr:colOff>
      <xdr:row>27</xdr:row>
      <xdr:rowOff>173620</xdr:rowOff>
    </xdr:from>
    <xdr:to>
      <xdr:col>15</xdr:col>
      <xdr:colOff>552739</xdr:colOff>
      <xdr:row>37</xdr:row>
      <xdr:rowOff>144684</xdr:rowOff>
    </xdr:to>
    <xdr:graphicFrame macro="">
      <xdr:nvGraphicFramePr>
        <xdr:cNvPr id="107" name="Chart 106">
          <a:extLst>
            <a:ext uri="{FF2B5EF4-FFF2-40B4-BE49-F238E27FC236}">
              <a16:creationId xmlns:a16="http://schemas.microsoft.com/office/drawing/2014/main" id="{46D3E623-C699-45D1-AF70-69FC01F37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288547</xdr:colOff>
      <xdr:row>25</xdr:row>
      <xdr:rowOff>45162</xdr:rowOff>
    </xdr:from>
    <xdr:to>
      <xdr:col>22</xdr:col>
      <xdr:colOff>90219</xdr:colOff>
      <xdr:row>26</xdr:row>
      <xdr:rowOff>144128</xdr:rowOff>
    </xdr:to>
    <xdr:sp macro="" textlink="">
      <xdr:nvSpPr>
        <xdr:cNvPr id="108" name="TextBox 107">
          <a:extLst>
            <a:ext uri="{FF2B5EF4-FFF2-40B4-BE49-F238E27FC236}">
              <a16:creationId xmlns:a16="http://schemas.microsoft.com/office/drawing/2014/main" id="{136ED34A-B594-40E7-B1AC-F11ED638CE8B}"/>
            </a:ext>
          </a:extLst>
        </xdr:cNvPr>
        <xdr:cNvSpPr txBox="1"/>
      </xdr:nvSpPr>
      <xdr:spPr>
        <a:xfrm>
          <a:off x="10782927" y="4867947"/>
          <a:ext cx="3737064" cy="291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Arial" panose="020B0604020202020204" pitchFamily="34" charset="0"/>
              <a:cs typeface="Arial" panose="020B0604020202020204" pitchFamily="34" charset="0"/>
            </a:rPr>
            <a:t>Attrition</a:t>
          </a:r>
          <a:r>
            <a:rPr lang="en-US" sz="1800" b="1" baseline="0">
              <a:solidFill>
                <a:srgbClr val="602928"/>
              </a:solidFill>
              <a:latin typeface="Arial" panose="020B0604020202020204" pitchFamily="34" charset="0"/>
              <a:cs typeface="Arial" panose="020B0604020202020204" pitchFamily="34" charset="0"/>
            </a:rPr>
            <a:t> by Martial Status</a:t>
          </a:r>
          <a:endParaRPr lang="en-US" sz="18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10</xdr:col>
      <xdr:colOff>199808</xdr:colOff>
      <xdr:row>25</xdr:row>
      <xdr:rowOff>72170</xdr:rowOff>
    </xdr:from>
    <xdr:to>
      <xdr:col>16</xdr:col>
      <xdr:colOff>1479</xdr:colOff>
      <xdr:row>26</xdr:row>
      <xdr:rowOff>171136</xdr:rowOff>
    </xdr:to>
    <xdr:sp macro="" textlink="">
      <xdr:nvSpPr>
        <xdr:cNvPr id="109" name="TextBox 108">
          <a:extLst>
            <a:ext uri="{FF2B5EF4-FFF2-40B4-BE49-F238E27FC236}">
              <a16:creationId xmlns:a16="http://schemas.microsoft.com/office/drawing/2014/main" id="{2A9C71AD-33B9-453E-979A-9A3763076392}"/>
            </a:ext>
          </a:extLst>
        </xdr:cNvPr>
        <xdr:cNvSpPr txBox="1"/>
      </xdr:nvSpPr>
      <xdr:spPr>
        <a:xfrm>
          <a:off x="6758795" y="4894955"/>
          <a:ext cx="3737064" cy="291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latin typeface="Arial" panose="020B0604020202020204" pitchFamily="34" charset="0"/>
              <a:cs typeface="Arial" panose="020B0604020202020204" pitchFamily="34" charset="0"/>
            </a:rPr>
            <a:t>Attrition</a:t>
          </a:r>
          <a:r>
            <a:rPr lang="en-US" sz="1800" b="1" baseline="0">
              <a:solidFill>
                <a:srgbClr val="602928"/>
              </a:solidFill>
              <a:latin typeface="Arial" panose="020B0604020202020204" pitchFamily="34" charset="0"/>
              <a:cs typeface="Arial" panose="020B0604020202020204" pitchFamily="34" charset="0"/>
            </a:rPr>
            <a:t> by Age Group</a:t>
          </a:r>
          <a:endParaRPr lang="en-US" sz="1800" b="1">
            <a:solidFill>
              <a:srgbClr val="602928"/>
            </a:solidFill>
            <a:latin typeface="Arial" panose="020B0604020202020204" pitchFamily="34" charset="0"/>
            <a:cs typeface="Arial" panose="020B0604020202020204" pitchFamily="34" charset="0"/>
          </a:endParaRPr>
        </a:p>
      </xdr:txBody>
    </xdr:sp>
    <xdr:clientData/>
  </xdr:twoCellAnchor>
  <xdr:twoCellAnchor>
    <xdr:from>
      <xdr:col>16</xdr:col>
      <xdr:colOff>323272</xdr:colOff>
      <xdr:row>27</xdr:row>
      <xdr:rowOff>115455</xdr:rowOff>
    </xdr:from>
    <xdr:to>
      <xdr:col>20</xdr:col>
      <xdr:colOff>592667</xdr:colOff>
      <xdr:row>37</xdr:row>
      <xdr:rowOff>169333</xdr:rowOff>
    </xdr:to>
    <xdr:graphicFrame macro="">
      <xdr:nvGraphicFramePr>
        <xdr:cNvPr id="110" name="Chart 109">
          <a:extLst>
            <a:ext uri="{FF2B5EF4-FFF2-40B4-BE49-F238E27FC236}">
              <a16:creationId xmlns:a16="http://schemas.microsoft.com/office/drawing/2014/main" id="{DAC48B27-8757-4D03-90BA-7DC8CD3A4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23</xdr:col>
      <xdr:colOff>518268</xdr:colOff>
      <xdr:row>29</xdr:row>
      <xdr:rowOff>7391</xdr:rowOff>
    </xdr:from>
    <xdr:to>
      <xdr:col>25</xdr:col>
      <xdr:colOff>425682</xdr:colOff>
      <xdr:row>35</xdr:row>
      <xdr:rowOff>108859</xdr:rowOff>
    </xdr:to>
    <mc:AlternateContent xmlns:mc="http://schemas.openxmlformats.org/markup-compatibility/2006">
      <mc:Choice xmlns:a14="http://schemas.microsoft.com/office/drawing/2010/main" Requires="a14">
        <xdr:graphicFrame macro="">
          <xdr:nvGraphicFramePr>
            <xdr:cNvPr id="111" name="Department 1">
              <a:extLst>
                <a:ext uri="{FF2B5EF4-FFF2-40B4-BE49-F238E27FC236}">
                  <a16:creationId xmlns:a16="http://schemas.microsoft.com/office/drawing/2014/main" id="{7B97196B-B3BC-4E3E-B1C9-FC43AD48424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540554" y="5619581"/>
              <a:ext cx="1213699" cy="1262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281677</xdr:colOff>
      <xdr:row>29</xdr:row>
      <xdr:rowOff>12096</xdr:rowOff>
    </xdr:from>
    <xdr:to>
      <xdr:col>23</xdr:col>
      <xdr:colOff>455274</xdr:colOff>
      <xdr:row>38</xdr:row>
      <xdr:rowOff>35696</xdr:rowOff>
    </xdr:to>
    <mc:AlternateContent xmlns:mc="http://schemas.openxmlformats.org/markup-compatibility/2006">
      <mc:Choice xmlns:a14="http://schemas.microsoft.com/office/drawing/2010/main" Requires="a14">
        <xdr:graphicFrame macro="">
          <xdr:nvGraphicFramePr>
            <xdr:cNvPr id="112" name="Education Field 3">
              <a:extLst>
                <a:ext uri="{FF2B5EF4-FFF2-40B4-BE49-F238E27FC236}">
                  <a16:creationId xmlns:a16="http://schemas.microsoft.com/office/drawing/2014/main" id="{0BEDB846-BD1E-4AD8-B282-D1EACA586AF1}"/>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997677" y="5624286"/>
              <a:ext cx="1479883" cy="1765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399143</xdr:colOff>
      <xdr:row>27</xdr:row>
      <xdr:rowOff>72571</xdr:rowOff>
    </xdr:from>
    <xdr:to>
      <xdr:col>23</xdr:col>
      <xdr:colOff>278190</xdr:colOff>
      <xdr:row>29</xdr:row>
      <xdr:rowOff>0</xdr:rowOff>
    </xdr:to>
    <xdr:sp macro="" textlink="">
      <xdr:nvSpPr>
        <xdr:cNvPr id="113" name="TextBox 112">
          <a:extLst>
            <a:ext uri="{FF2B5EF4-FFF2-40B4-BE49-F238E27FC236}">
              <a16:creationId xmlns:a16="http://schemas.microsoft.com/office/drawing/2014/main" id="{8D822AE3-5369-28DE-0A3D-918A2ACBF340}"/>
            </a:ext>
          </a:extLst>
        </xdr:cNvPr>
        <xdr:cNvSpPr txBox="1"/>
      </xdr:nvSpPr>
      <xdr:spPr>
        <a:xfrm>
          <a:off x="14115143" y="5297714"/>
          <a:ext cx="1185333" cy="314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002060"/>
              </a:solidFill>
              <a:latin typeface="Arial" panose="020B0604020202020204" pitchFamily="34" charset="0"/>
              <a:cs typeface="Arial" panose="020B0604020202020204" pitchFamily="34" charset="0"/>
            </a:rPr>
            <a:t>Education Field</a:t>
          </a:r>
        </a:p>
      </xdr:txBody>
    </xdr:sp>
    <xdr:clientData/>
  </xdr:twoCellAnchor>
  <xdr:twoCellAnchor>
    <xdr:from>
      <xdr:col>23</xdr:col>
      <xdr:colOff>551543</xdr:colOff>
      <xdr:row>27</xdr:row>
      <xdr:rowOff>79829</xdr:rowOff>
    </xdr:from>
    <xdr:to>
      <xdr:col>25</xdr:col>
      <xdr:colOff>430591</xdr:colOff>
      <xdr:row>29</xdr:row>
      <xdr:rowOff>7258</xdr:rowOff>
    </xdr:to>
    <xdr:sp macro="" textlink="">
      <xdr:nvSpPr>
        <xdr:cNvPr id="114" name="TextBox 113">
          <a:extLst>
            <a:ext uri="{FF2B5EF4-FFF2-40B4-BE49-F238E27FC236}">
              <a16:creationId xmlns:a16="http://schemas.microsoft.com/office/drawing/2014/main" id="{995AD7FA-F5ED-4129-8C2D-BEADA7565E3D}"/>
            </a:ext>
          </a:extLst>
        </xdr:cNvPr>
        <xdr:cNvSpPr txBox="1"/>
      </xdr:nvSpPr>
      <xdr:spPr>
        <a:xfrm>
          <a:off x="15573829" y="5304972"/>
          <a:ext cx="1185333" cy="314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002060"/>
              </a:solidFill>
              <a:latin typeface="Arial" panose="020B0604020202020204" pitchFamily="34" charset="0"/>
              <a:cs typeface="Arial" panose="020B0604020202020204" pitchFamily="34" charset="0"/>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 refreshedDate="46021.701049189818" createdVersion="8" refreshedVersion="8" minRefreshableVersion="3" recordCount="1470" xr:uid="{3C3D1AAA-9769-485F-ACFE-F63FCF0A70E3}">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47983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F6CFC1-7262-458F-904A-10989E2E2235}" name="KPI"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7FFBB4-AA95-4466-ABD1-A70EDE251B69}" name="Rating"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0"/>
  </dataFields>
  <formats count="1">
    <format dxfId="3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F4E3D4-8068-444C-9D0B-DE5ABCD4DEDE}" name="Gender"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E31658-96E3-49D0-9C1C-DDB47251D099}" name="Education by Attrition"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B39495-BBC5-44E9-8060-174352F9BF60}" name="Attrition by job"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70C0BC-3551-4B31-81BE-54D105C7EC60}" name="Dept wise Attrition"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numFmtId="10">
      <extLst>
        <ext xmlns:x14="http://schemas.microsoft.com/office/spreadsheetml/2009/9/main" uri="{E15A36E0-9728-4e99-A89B-3F7291B0FE68}">
          <x14:dataField pivotShowAs="percentOfParentRow"/>
        </ext>
      </extLst>
    </dataField>
  </dataFields>
  <chartFormats count="6">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15"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EE3896-C3E8-42F6-94AA-896F04A91D28}" name="Attrition by Age"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7">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0"/>
          </reference>
        </references>
      </pivotArea>
    </chartFormat>
    <chartFormat chart="12" format="4">
      <pivotArea type="data" outline="0" fieldPosition="0">
        <references count="2">
          <reference field="4294967294" count="1" selected="0">
            <x v="0"/>
          </reference>
          <reference field="2" count="1" selected="0">
            <x v="1"/>
          </reference>
        </references>
      </pivotArea>
    </chartFormat>
    <chartFormat chart="12" format="5">
      <pivotArea type="data" outline="0" fieldPosition="0">
        <references count="2">
          <reference field="4294967294" count="1" selected="0">
            <x v="0"/>
          </reference>
          <reference field="2" count="1" selected="0">
            <x v="4"/>
          </reference>
        </references>
      </pivotArea>
    </chartFormat>
    <chartFormat chart="12" format="6">
      <pivotArea type="data" outline="0" fieldPosition="0">
        <references count="2">
          <reference field="4294967294" count="1" selected="0">
            <x v="0"/>
          </reference>
          <reference field="2" count="1" selected="0">
            <x v="2"/>
          </reference>
        </references>
      </pivotArea>
    </chartFormat>
    <chartFormat chart="12" format="7">
      <pivotArea type="data" outline="0" fieldPosition="0">
        <references count="2">
          <reference field="4294967294" count="1" selected="0">
            <x v="0"/>
          </reference>
          <reference field="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6A2991-3C44-48F4-A7EB-AFFE2DDE7D65}" name="Materials statu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90B4974-A496-4936-812E-D82840B905EC}" sourceName="Gender">
  <pivotTables>
    <pivotTable tabId="9" name="Gender"/>
    <pivotTable tabId="13" name="Attrition by Age"/>
    <pivotTable tabId="11" name="Attrition by job"/>
    <pivotTable tabId="12" name="Dept wise Attrition"/>
    <pivotTable tabId="10" name="Education by Attrition"/>
    <pivotTable tabId="7" name="KPI"/>
    <pivotTable tabId="14" name="Materials status"/>
    <pivotTable tabId="8" name="Rating"/>
  </pivotTables>
  <data>
    <tabular pivotCacheId="15479832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9B54E9-827C-4F93-98DD-5F3E6FC6A599}" sourceName="Department">
  <pivotTables>
    <pivotTable tabId="13" name="Attrition by Age"/>
    <pivotTable tabId="11" name="Attrition by job"/>
    <pivotTable tabId="12" name="Dept wise Attrition"/>
    <pivotTable tabId="10" name="Education by Attrition"/>
    <pivotTable tabId="9" name="Gender"/>
    <pivotTable tabId="7" name="KPI"/>
    <pivotTable tabId="14" name="Materials status"/>
    <pivotTable tabId="8" name="Rating"/>
  </pivotTables>
  <data>
    <tabular pivotCacheId="154798328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FC37258F-97D0-45B3-B390-319999E57571}" sourceName="Education Field">
  <pivotTables>
    <pivotTable tabId="13" name="Attrition by Age"/>
    <pivotTable tabId="11" name="Attrition by job"/>
    <pivotTable tabId="12" name="Dept wise Attrition"/>
    <pivotTable tabId="10" name="Education by Attrition"/>
    <pivotTable tabId="9" name="Gender"/>
    <pivotTable tabId="7" name="KPI"/>
    <pivotTable tabId="14" name="Materials status"/>
    <pivotTable tabId="8" name="Rating"/>
  </pivotTables>
  <data>
    <tabular pivotCacheId="154798328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CDE1B25-A66C-4441-BECF-E415DCF75BBF}"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16B9B73-C376-4761-95DC-4B290717B47C}" cache="Slicer_Gender2" caption="Gender" rowHeight="260350"/>
  <slicer name="Education Field" xr10:uid="{AC532435-DF2C-4B6E-BD1B-CEB94029DD9C}"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9573474-EC27-4627-A170-5A9BB33CD77D}" cache="Slicer_Gender2" caption="Gender" rowHeight="260350"/>
  <slicer name="Education Field 1" xr10:uid="{E17B1EF4-FDB2-426E-8A72-F37045EB9DEC}"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A4873BA-867B-420C-A12B-D94F117CD16F}" cache="Slicer_Department" caption="Department" rowHeight="260350"/>
  <slicer name="Education Field 2" xr10:uid="{4D31057B-FB7E-4A2D-B1D5-213104A022DB}"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D674957C-7557-40C6-B768-D48DFD2D9B69}" cache="Slicer_Gender2" caption="Gender" columnCount="2" rowHeight="260350"/>
  <slicer name="Department 1" xr10:uid="{53695442-416B-4BEC-A4F6-1E2C5B2131F6}" cache="Slicer_Department" caption="Department" style="Slicer" rowHeight="260350"/>
  <slicer name="Education Field 3" xr10:uid="{B8CCD5A9-7107-49C6-8427-64842DE5B94D}" cache="Slicer_Education_Field2" caption="Education Field"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9467F-5A15-43A9-858F-4D0C7765C67B}">
  <dimension ref="A3:E8"/>
  <sheetViews>
    <sheetView workbookViewId="0">
      <selection activeCell="C8" sqref="C8"/>
    </sheetView>
  </sheetViews>
  <sheetFormatPr defaultRowHeight="15.6" x14ac:dyDescent="0.3"/>
  <cols>
    <col min="1" max="1" width="24.5" bestFit="1" customWidth="1"/>
    <col min="2" max="2" width="22.796875" bestFit="1" customWidth="1"/>
    <col min="3" max="3" width="13.5" bestFit="1" customWidth="1"/>
    <col min="4" max="4" width="15.296875" customWidth="1"/>
    <col min="5" max="5" width="11.69921875" customWidth="1"/>
  </cols>
  <sheetData>
    <row r="3" spans="1:5" x14ac:dyDescent="0.3">
      <c r="A3" s="2" t="s">
        <v>1556</v>
      </c>
      <c r="B3" s="8" t="s">
        <v>1557</v>
      </c>
      <c r="C3" s="5" t="s">
        <v>1558</v>
      </c>
    </row>
    <row r="4" spans="1:5" x14ac:dyDescent="0.3">
      <c r="A4" s="6">
        <v>1470</v>
      </c>
      <c r="B4" s="9">
        <v>237</v>
      </c>
      <c r="C4" s="7">
        <v>36.923809523809524</v>
      </c>
    </row>
    <row r="7" spans="1:5" x14ac:dyDescent="0.3">
      <c r="A7" t="s">
        <v>1559</v>
      </c>
      <c r="B7" t="s">
        <v>1560</v>
      </c>
      <c r="C7" t="s">
        <v>1561</v>
      </c>
      <c r="D7" t="s">
        <v>1562</v>
      </c>
      <c r="E7" t="s">
        <v>1563</v>
      </c>
    </row>
    <row r="8" spans="1:5" x14ac:dyDescent="0.3">
      <c r="A8">
        <f>GETPIVOTDATA("Count of Employee Number",$A$3)</f>
        <v>1470</v>
      </c>
      <c r="B8">
        <f>GETPIVOTDATA("Sum of CF_attrition count",$A$3)</f>
        <v>237</v>
      </c>
      <c r="C8" s="13">
        <f>GETPIVOTDATA("Average of Age",$A$3)</f>
        <v>36.923809523809524</v>
      </c>
      <c r="D8">
        <f>A8-B8</f>
        <v>1233</v>
      </c>
      <c r="E8" s="11">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3C26-9BEC-4CF8-AD39-7F69BD79F920}">
  <dimension ref="A3:C8"/>
  <sheetViews>
    <sheetView workbookViewId="0">
      <selection activeCell="A4" sqref="A4"/>
    </sheetView>
  </sheetViews>
  <sheetFormatPr defaultRowHeight="15.6" x14ac:dyDescent="0.3"/>
  <cols>
    <col min="1" max="1" width="23.59765625" bestFit="1" customWidth="1"/>
  </cols>
  <sheetData>
    <row r="3" spans="1:3" x14ac:dyDescent="0.3">
      <c r="A3" s="3" t="s">
        <v>1564</v>
      </c>
    </row>
    <row r="4" spans="1:3" x14ac:dyDescent="0.3">
      <c r="A4" s="16">
        <v>2.6265306122448981</v>
      </c>
    </row>
    <row r="7" spans="1:3" x14ac:dyDescent="0.3">
      <c r="A7" t="s">
        <v>1565</v>
      </c>
      <c r="B7" s="12">
        <f>GETPIVOTDATA("Job Satisfaction",$A$3)</f>
        <v>2.6265306122448981</v>
      </c>
      <c r="C7">
        <f>B7/4</f>
        <v>0.65663265306122454</v>
      </c>
    </row>
    <row r="8" spans="1:3" x14ac:dyDescent="0.3">
      <c r="A8" t="s">
        <v>1566</v>
      </c>
      <c r="B8" s="12">
        <f>4-GETPIVOTDATA("Job Satisfaction",$A$3)</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EEC0-92F9-402A-AC0E-8CB7E7AE0CD4}">
  <dimension ref="A3:C11"/>
  <sheetViews>
    <sheetView topLeftCell="C1" workbookViewId="0">
      <selection activeCell="B10" sqref="B10"/>
    </sheetView>
  </sheetViews>
  <sheetFormatPr defaultRowHeight="15.6" x14ac:dyDescent="0.3"/>
  <cols>
    <col min="1" max="1" width="12.19921875" bestFit="1" customWidth="1"/>
    <col min="2" max="2" width="22.796875" bestFit="1" customWidth="1"/>
  </cols>
  <sheetData>
    <row r="3" spans="1:3" x14ac:dyDescent="0.3">
      <c r="A3" s="17" t="s">
        <v>1554</v>
      </c>
      <c r="B3" s="3" t="s">
        <v>1567</v>
      </c>
    </row>
    <row r="4" spans="1:3" x14ac:dyDescent="0.3">
      <c r="A4" s="18" t="s">
        <v>51</v>
      </c>
      <c r="B4" s="19">
        <v>588</v>
      </c>
    </row>
    <row r="5" spans="1:3" x14ac:dyDescent="0.3">
      <c r="A5" s="20" t="s">
        <v>62</v>
      </c>
      <c r="B5" s="21">
        <v>882</v>
      </c>
    </row>
    <row r="6" spans="1:3" x14ac:dyDescent="0.3">
      <c r="A6" s="22" t="s">
        <v>1555</v>
      </c>
      <c r="B6" s="4">
        <v>1470</v>
      </c>
    </row>
    <row r="10" spans="1:3" x14ac:dyDescent="0.3">
      <c r="A10" t="s">
        <v>51</v>
      </c>
      <c r="B10">
        <f>IFERROR(GETPIVOTDATA("Employee Count",$A$3,"Gender","Female"),0)</f>
        <v>588</v>
      </c>
      <c r="C10" s="10">
        <f>IFERROR(B10/($B$10+$B$11),0)</f>
        <v>0.4</v>
      </c>
    </row>
    <row r="11" spans="1:3" x14ac:dyDescent="0.3">
      <c r="A11" t="s">
        <v>62</v>
      </c>
      <c r="B11">
        <f>IFERROR(GETPIVOTDATA("Employee Count",$A$3,"Gender","Male"),0)</f>
        <v>882</v>
      </c>
      <c r="C11" s="10">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A5172-E68A-4E85-9218-2BECEA2BF85D}">
  <dimension ref="A3:B9"/>
  <sheetViews>
    <sheetView workbookViewId="0">
      <selection activeCell="B6" sqref="B6"/>
    </sheetView>
  </sheetViews>
  <sheetFormatPr defaultRowHeight="15.6" x14ac:dyDescent="0.3"/>
  <cols>
    <col min="1" max="1" width="16" bestFit="1" customWidth="1"/>
    <col min="2" max="2" width="22.796875" bestFit="1" customWidth="1"/>
  </cols>
  <sheetData>
    <row r="3" spans="1:2" x14ac:dyDescent="0.3">
      <c r="A3" s="17" t="s">
        <v>1554</v>
      </c>
      <c r="B3" s="3" t="s">
        <v>1557</v>
      </c>
    </row>
    <row r="4" spans="1:2" x14ac:dyDescent="0.3">
      <c r="A4" s="18" t="s">
        <v>134</v>
      </c>
      <c r="B4" s="19">
        <v>5</v>
      </c>
    </row>
    <row r="5" spans="1:2" x14ac:dyDescent="0.3">
      <c r="A5" s="20" t="s">
        <v>65</v>
      </c>
      <c r="B5" s="21">
        <v>31</v>
      </c>
    </row>
    <row r="6" spans="1:2" x14ac:dyDescent="0.3">
      <c r="A6" s="20" t="s">
        <v>55</v>
      </c>
      <c r="B6" s="21">
        <v>44</v>
      </c>
    </row>
    <row r="7" spans="1:2" x14ac:dyDescent="0.3">
      <c r="A7" s="20" t="s">
        <v>71</v>
      </c>
      <c r="B7" s="21">
        <v>58</v>
      </c>
    </row>
    <row r="8" spans="1:2" x14ac:dyDescent="0.3">
      <c r="A8" s="20" t="s">
        <v>77</v>
      </c>
      <c r="B8" s="21">
        <v>99</v>
      </c>
    </row>
    <row r="9" spans="1:2" x14ac:dyDescent="0.3">
      <c r="A9" s="22" t="s">
        <v>1555</v>
      </c>
      <c r="B9"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36DE8-CBBC-4E83-B989-F01CAED9A31F}">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22.59765625" customWidth="1"/>
  </cols>
  <sheetData>
    <row r="3" spans="1:5" x14ac:dyDescent="0.3">
      <c r="A3" s="17" t="s">
        <v>1554</v>
      </c>
      <c r="B3" s="3" t="s">
        <v>1557</v>
      </c>
      <c r="D3" t="s">
        <v>9</v>
      </c>
      <c r="E3" t="s">
        <v>1568</v>
      </c>
    </row>
    <row r="4" spans="1:5" x14ac:dyDescent="0.3">
      <c r="A4" s="18" t="s">
        <v>83</v>
      </c>
      <c r="B4" s="19">
        <v>9</v>
      </c>
      <c r="D4" t="str">
        <f>A4</f>
        <v>Healthcare Representative</v>
      </c>
      <c r="E4">
        <f>GETPIVOTDATA("CF_attrition count",$A$3,"Job Role",A4)</f>
        <v>9</v>
      </c>
    </row>
    <row r="5" spans="1:5" x14ac:dyDescent="0.3">
      <c r="A5" s="20" t="s">
        <v>163</v>
      </c>
      <c r="B5" s="21">
        <v>12</v>
      </c>
      <c r="D5" t="str">
        <f t="shared" ref="D5:D12" si="0">A5</f>
        <v>Human Resources</v>
      </c>
      <c r="E5">
        <f t="shared" ref="E5:E12" si="1">GETPIVOTDATA("CF_attrition count",$A$3,"Job Role",A5)</f>
        <v>12</v>
      </c>
    </row>
    <row r="6" spans="1:5" x14ac:dyDescent="0.3">
      <c r="A6" s="20" t="s">
        <v>68</v>
      </c>
      <c r="B6" s="21">
        <v>62</v>
      </c>
      <c r="D6" t="str">
        <f t="shared" si="0"/>
        <v>Laboratory Technician</v>
      </c>
      <c r="E6">
        <f t="shared" si="1"/>
        <v>62</v>
      </c>
    </row>
    <row r="7" spans="1:5" x14ac:dyDescent="0.3">
      <c r="A7" s="20" t="s">
        <v>95</v>
      </c>
      <c r="B7" s="21">
        <v>5</v>
      </c>
      <c r="D7" t="str">
        <f t="shared" si="0"/>
        <v>Manager</v>
      </c>
      <c r="E7">
        <f t="shared" si="1"/>
        <v>5</v>
      </c>
    </row>
    <row r="8" spans="1:5" x14ac:dyDescent="0.3">
      <c r="A8" s="20" t="s">
        <v>81</v>
      </c>
      <c r="B8" s="21">
        <v>10</v>
      </c>
      <c r="D8" t="str">
        <f t="shared" si="0"/>
        <v>Manufacturing Director</v>
      </c>
      <c r="E8">
        <f t="shared" si="1"/>
        <v>10</v>
      </c>
    </row>
    <row r="9" spans="1:5" x14ac:dyDescent="0.3">
      <c r="A9" s="20" t="s">
        <v>101</v>
      </c>
      <c r="B9" s="21">
        <v>2</v>
      </c>
      <c r="D9" t="str">
        <f t="shared" si="0"/>
        <v>Research Director</v>
      </c>
      <c r="E9">
        <f t="shared" si="1"/>
        <v>2</v>
      </c>
    </row>
    <row r="10" spans="1:5" x14ac:dyDescent="0.3">
      <c r="A10" s="20" t="s">
        <v>63</v>
      </c>
      <c r="B10" s="21">
        <v>47</v>
      </c>
      <c r="D10" t="str">
        <f t="shared" si="0"/>
        <v>Research Scientist</v>
      </c>
      <c r="E10">
        <f t="shared" si="1"/>
        <v>47</v>
      </c>
    </row>
    <row r="11" spans="1:5" x14ac:dyDescent="0.3">
      <c r="A11" s="20" t="s">
        <v>52</v>
      </c>
      <c r="B11" s="21">
        <v>57</v>
      </c>
      <c r="D11" t="str">
        <f t="shared" si="0"/>
        <v>Sales Executive</v>
      </c>
      <c r="E11">
        <f t="shared" si="1"/>
        <v>57</v>
      </c>
    </row>
    <row r="12" spans="1:5" x14ac:dyDescent="0.3">
      <c r="A12" s="20" t="s">
        <v>99</v>
      </c>
      <c r="B12" s="21">
        <v>33</v>
      </c>
      <c r="D12" t="str">
        <f t="shared" si="0"/>
        <v>Sales Representative</v>
      </c>
      <c r="E12">
        <f t="shared" si="1"/>
        <v>33</v>
      </c>
    </row>
    <row r="13" spans="1:5" x14ac:dyDescent="0.3">
      <c r="A13" s="22" t="s">
        <v>1555</v>
      </c>
      <c r="B13"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532B-8312-4BD8-8537-F22E5195288D}">
  <dimension ref="A3:B7"/>
  <sheetViews>
    <sheetView workbookViewId="0">
      <selection activeCell="A4" sqref="A4:B6"/>
    </sheetView>
  </sheetViews>
  <sheetFormatPr defaultRowHeight="15.6" x14ac:dyDescent="0.3"/>
  <cols>
    <col min="1" max="1" width="12.19921875" bestFit="1" customWidth="1"/>
    <col min="2" max="2" width="22.796875" bestFit="1" customWidth="1"/>
  </cols>
  <sheetData>
    <row r="3" spans="1:2" x14ac:dyDescent="0.3">
      <c r="A3" s="17" t="s">
        <v>1554</v>
      </c>
      <c r="B3" s="3" t="s">
        <v>1557</v>
      </c>
    </row>
    <row r="4" spans="1:2" x14ac:dyDescent="0.3">
      <c r="A4" s="18" t="s">
        <v>161</v>
      </c>
      <c r="B4" s="23">
        <v>5.0632911392405063E-2</v>
      </c>
    </row>
    <row r="5" spans="1:2" x14ac:dyDescent="0.3">
      <c r="A5" s="20" t="s">
        <v>60</v>
      </c>
      <c r="B5" s="24">
        <v>0.56118143459915615</v>
      </c>
    </row>
    <row r="6" spans="1:2" x14ac:dyDescent="0.3">
      <c r="A6" s="20" t="s">
        <v>48</v>
      </c>
      <c r="B6" s="24">
        <v>0.3881856540084388</v>
      </c>
    </row>
    <row r="7" spans="1:2" x14ac:dyDescent="0.3">
      <c r="A7" s="22" t="s">
        <v>1555</v>
      </c>
      <c r="B7" s="2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8E27C-1696-47AD-9E5A-CDC6E17354E2}">
  <dimension ref="A3:B9"/>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7" t="s">
        <v>1554</v>
      </c>
      <c r="B3" s="3" t="s">
        <v>1557</v>
      </c>
    </row>
    <row r="4" spans="1:2" x14ac:dyDescent="0.3">
      <c r="A4" s="18" t="s">
        <v>69</v>
      </c>
      <c r="B4" s="19">
        <v>112</v>
      </c>
    </row>
    <row r="5" spans="1:2" x14ac:dyDescent="0.3">
      <c r="A5" s="20" t="s">
        <v>46</v>
      </c>
      <c r="B5" s="21">
        <v>51</v>
      </c>
    </row>
    <row r="6" spans="1:2" x14ac:dyDescent="0.3">
      <c r="A6" s="20" t="s">
        <v>92</v>
      </c>
      <c r="B6" s="21">
        <v>38</v>
      </c>
    </row>
    <row r="7" spans="1:2" x14ac:dyDescent="0.3">
      <c r="A7" s="20" t="s">
        <v>58</v>
      </c>
      <c r="B7" s="21">
        <v>25</v>
      </c>
    </row>
    <row r="8" spans="1:2" x14ac:dyDescent="0.3">
      <c r="A8" s="20" t="s">
        <v>75</v>
      </c>
      <c r="B8" s="21">
        <v>11</v>
      </c>
    </row>
    <row r="9" spans="1:2" x14ac:dyDescent="0.3">
      <c r="A9" s="22" t="s">
        <v>1555</v>
      </c>
      <c r="B9"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0D57-6176-48B8-A302-5EB42200B29A}">
  <dimension ref="A3:F7"/>
  <sheetViews>
    <sheetView workbookViewId="0">
      <selection activeCell="E4" sqref="E4:F6"/>
    </sheetView>
  </sheetViews>
  <sheetFormatPr defaultRowHeight="15.6" x14ac:dyDescent="0.3"/>
  <cols>
    <col min="1" max="1" width="12.19921875" bestFit="1" customWidth="1"/>
    <col min="2" max="2" width="16" bestFit="1" customWidth="1"/>
    <col min="5" max="5" width="13.59765625" customWidth="1"/>
  </cols>
  <sheetData>
    <row r="3" spans="1:6" x14ac:dyDescent="0.3">
      <c r="A3" s="17" t="s">
        <v>1554</v>
      </c>
      <c r="B3" s="3" t="s">
        <v>1569</v>
      </c>
      <c r="E3" t="s">
        <v>1570</v>
      </c>
      <c r="F3" t="s">
        <v>0</v>
      </c>
    </row>
    <row r="4" spans="1:6" x14ac:dyDescent="0.3">
      <c r="A4" s="18" t="s">
        <v>79</v>
      </c>
      <c r="B4" s="19">
        <v>327</v>
      </c>
      <c r="E4" t="str">
        <f>A4</f>
        <v>Divorced</v>
      </c>
      <c r="F4">
        <f>GETPIVOTDATA("Attrition",$A$3,"Marital Status",A4)</f>
        <v>327</v>
      </c>
    </row>
    <row r="5" spans="1:6" x14ac:dyDescent="0.3">
      <c r="A5" s="20" t="s">
        <v>64</v>
      </c>
      <c r="B5" s="21">
        <v>673</v>
      </c>
      <c r="E5" t="str">
        <f t="shared" ref="E5:E6" si="0">A5</f>
        <v>Married</v>
      </c>
      <c r="F5">
        <f t="shared" ref="F5:F6" si="1">GETPIVOTDATA("Attrition",$A$3,"Marital Status",A5)</f>
        <v>673</v>
      </c>
    </row>
    <row r="6" spans="1:6" x14ac:dyDescent="0.3">
      <c r="A6" s="20" t="s">
        <v>53</v>
      </c>
      <c r="B6" s="21">
        <v>470</v>
      </c>
      <c r="E6" t="str">
        <f t="shared" si="0"/>
        <v>Single</v>
      </c>
      <c r="F6">
        <f t="shared" si="1"/>
        <v>470</v>
      </c>
    </row>
    <row r="7" spans="1:6" x14ac:dyDescent="0.3">
      <c r="A7" s="22" t="s">
        <v>1555</v>
      </c>
      <c r="B7" s="4">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15" sqref="E15"/>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B1:AB20"/>
  <sheetViews>
    <sheetView showGridLines="0" tabSelected="1" topLeftCell="B1" zoomScale="63" zoomScaleNormal="63" workbookViewId="0">
      <selection activeCell="M44" sqref="M44"/>
    </sheetView>
  </sheetViews>
  <sheetFormatPr defaultColWidth="11.19921875" defaultRowHeight="15" customHeight="1" x14ac:dyDescent="0.3"/>
  <cols>
    <col min="1" max="26" width="8.59765625" style="14" customWidth="1"/>
    <col min="27" max="16384" width="11.19921875" style="14"/>
  </cols>
  <sheetData>
    <row r="1" spans="28:28" x14ac:dyDescent="0.3"/>
    <row r="2" spans="28:28" x14ac:dyDescent="0.3"/>
    <row r="3" spans="28:28" x14ac:dyDescent="0.3"/>
    <row r="4" spans="28:28" x14ac:dyDescent="0.3"/>
    <row r="5" spans="28:28" x14ac:dyDescent="0.3"/>
    <row r="6" spans="28:28" x14ac:dyDescent="0.3">
      <c r="AB6" s="15"/>
    </row>
    <row r="7" spans="28:28" x14ac:dyDescent="0.3"/>
    <row r="8" spans="28:28" x14ac:dyDescent="0.3"/>
    <row r="9" spans="28:28" x14ac:dyDescent="0.3"/>
    <row r="10" spans="28:28" x14ac:dyDescent="0.3"/>
    <row r="11" spans="28:28" x14ac:dyDescent="0.3"/>
    <row r="12" spans="28:28" x14ac:dyDescent="0.3"/>
    <row r="13" spans="28:28" x14ac:dyDescent="0.3"/>
    <row r="14" spans="28:28" x14ac:dyDescent="0.3"/>
    <row r="15" spans="28:28" x14ac:dyDescent="0.3"/>
    <row r="16" spans="28:28" x14ac:dyDescent="0.3"/>
    <row r="17" s="14" customFormat="1" x14ac:dyDescent="0.3"/>
    <row r="18" s="14" customFormat="1" x14ac:dyDescent="0.3"/>
    <row r="19" s="14" customFormat="1" x14ac:dyDescent="0.3"/>
    <row r="20" s="14" customFormat="1"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 by Attrition</vt:lpstr>
      <vt:lpstr>Attrition by job</vt:lpstr>
      <vt:lpstr>Dept wise Attrition</vt:lpstr>
      <vt:lpstr>Attrition by Age</vt:lpstr>
      <vt:lpstr>Materials status</vt:lpstr>
      <vt:lpstr>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sachinimadhubhashinie5@gmail.com</cp:lastModifiedBy>
  <dcterms:created xsi:type="dcterms:W3CDTF">2022-12-29T16:02:46Z</dcterms:created>
  <dcterms:modified xsi:type="dcterms:W3CDTF">2025-12-30T20:17:01Z</dcterms:modified>
</cp:coreProperties>
</file>